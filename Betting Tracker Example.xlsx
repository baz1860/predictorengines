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34200" windowHeight="21460" tabRatio="500" firstSheet="0" activeTab="2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y Bets" sheetId="2" state="visible" r:id="rId2"/>
    <sheet xmlns:r="http://schemas.openxmlformats.org/officeDocument/2006/relationships" name="Project Ledger" sheetId="3" state="visible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6">
    <numFmt numFmtId="164" formatCode="\£#,##0.00;&quot;(£&quot;#,##0.00\);\-"/>
    <numFmt numFmtId="165" formatCode="0.0%"/>
    <numFmt numFmtId="166" formatCode="\£#,##0.00;\(\£#,##0.00\);&quot;-&quot;"/>
    <numFmt numFmtId="167" formatCode="\+0.0%;\-0.0%"/>
    <numFmt numFmtId="168" formatCode="£#,##0.00;(£#,##0.00);&quot;-&quot;"/>
    <numFmt numFmtId="169" formatCode="+0.0%;-0.0%"/>
  </numFmts>
  <fonts count="12">
    <font>
      <name val="Calibri"/>
      <charset val="1"/>
      <family val="2"/>
      <color theme="1"/>
      <sz val="11"/>
    </font>
    <font>
      <name val="Arial"/>
      <family val="2"/>
      <b val="1"/>
      <sz val="14"/>
    </font>
    <font>
      <name val="Arial"/>
      <family val="2"/>
      <color rgb="FF808080"/>
      <sz val="9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color rgb="FF008000"/>
      <sz val="10"/>
    </font>
    <font>
      <name val="Arial"/>
      <family val="2"/>
      <b val="1"/>
      <sz val="10"/>
    </font>
    <font>
      <name val="Arial"/>
      <family val="2"/>
      <color rgb="FF0000FF"/>
      <sz val="10"/>
    </font>
    <font>
      <name val="Arial"/>
      <family val="2"/>
      <i val="1"/>
      <color rgb="FF808080"/>
      <sz val="9"/>
    </font>
    <font>
      <name val="Arial"/>
      <family val="2"/>
      <b val="1"/>
      <color rgb="FF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1" fontId="5" fillId="0" borderId="0" pivotButton="0" quotePrefix="0" xfId="0"/>
    <xf numFmtId="165" fontId="5" fillId="0" borderId="0" pivotButton="0" quotePrefix="0" xfId="0"/>
    <xf numFmtId="0" fontId="6" fillId="0" borderId="0" pivotButton="0" quotePrefix="0" xfId="0"/>
    <xf numFmtId="164" fontId="7" fillId="3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/>
    </xf>
    <xf numFmtId="14" fontId="7" fillId="0" borderId="0" pivotButton="0" quotePrefix="0" xfId="0"/>
    <xf numFmtId="0" fontId="7" fillId="0" borderId="0" pivotButton="0" quotePrefix="0" xfId="0"/>
    <xf numFmtId="2" fontId="7" fillId="0" borderId="0" pivotButton="0" quotePrefix="0" xfId="0"/>
    <xf numFmtId="164" fontId="7" fillId="0" borderId="0" pivotButton="0" quotePrefix="0" xfId="0"/>
    <xf numFmtId="164" fontId="4" fillId="0" borderId="0" pivotButton="0" quotePrefix="0" xfId="0"/>
    <xf numFmtId="0" fontId="9" fillId="2" borderId="1" pivotButton="0" quotePrefix="0" xfId="0"/>
    <xf numFmtId="0" fontId="10" fillId="0" borderId="0" pivotButton="0" quotePrefix="0" xfId="0"/>
    <xf numFmtId="2" fontId="10" fillId="0" borderId="0" pivotButton="0" quotePrefix="0" xfId="0"/>
    <xf numFmtId="166" fontId="10" fillId="0" borderId="0" pivotButton="0" quotePrefix="0" xfId="0"/>
    <xf numFmtId="0" fontId="11" fillId="0" borderId="0" pivotButton="0" quotePrefix="0" xfId="0"/>
    <xf numFmtId="167" fontId="10" fillId="0" borderId="0" pivotButton="0" quotePrefix="0" xfId="0"/>
    <xf numFmtId="0" fontId="3" fillId="2" borderId="0" pivotButton="0" quotePrefix="0" xfId="0"/>
    <xf numFmtId="0" fontId="0" fillId="0" borderId="0" pivotButton="0" quotePrefix="0" xfId="0"/>
    <xf numFmtId="168" fontId="10" fillId="0" borderId="0" pivotButton="0" quotePrefix="0" xfId="0"/>
    <xf numFmtId="169" fontId="1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zoomScaleNormal="100" workbookViewId="0">
      <selection activeCell="A1" sqref="A1"/>
    </sheetView>
  </sheetViews>
  <sheetFormatPr baseColWidth="10" defaultColWidth="8.6640625" defaultRowHeight="15"/>
  <cols>
    <col width="26" customWidth="1" style="23" min="1" max="1"/>
    <col width="14" customWidth="1" style="23" min="2" max="2"/>
  </cols>
  <sheetData>
    <row r="1" ht="17.25" customHeight="1" s="23">
      <c r="A1" s="1" t="inlineStr">
        <is>
          <t>Betting Dashboard — World Cup 2026</t>
        </is>
      </c>
    </row>
    <row r="2" ht="15" customHeight="1" s="23">
      <c r="A2" s="2">
        <f>TEXT(TODAY(),"dd mmm yyyy")</f>
        <v/>
      </c>
    </row>
    <row r="4" ht="15" customHeight="1" s="23">
      <c r="A4" s="22" t="inlineStr">
        <is>
          <t>My betting (manual log)</t>
        </is>
      </c>
    </row>
    <row r="5" ht="15" customHeight="1" s="23">
      <c r="A5" s="3" t="inlineStr">
        <is>
          <t>Balance</t>
        </is>
      </c>
      <c r="B5" s="4">
        <f>'My Bets'!$H$1+SUM('My Bets'!$H$4:$H$297)-SUMIFS('My Bets'!$E$4:$E$297,'My Bets'!$F$4:$F$297,"open")</f>
        <v/>
      </c>
    </row>
    <row r="6" ht="15" customHeight="1" s="23">
      <c r="A6" s="3" t="inlineStr">
        <is>
          <t>Open stakes at risk</t>
        </is>
      </c>
      <c r="B6" s="4">
        <f>SUMIFS('My Bets'!$E$4:$E$297,'My Bets'!$F$4:$F$297,"open")</f>
        <v/>
      </c>
    </row>
    <row r="7" ht="15" customHeight="1" s="23">
      <c r="A7" s="3" t="inlineStr">
        <is>
          <t>Settled bets</t>
        </is>
      </c>
      <c r="B7" s="5">
        <f>COUNTIF('My Bets'!$F$4:$F$297,"won")+COUNTIF('My Bets'!$F$4:$F$297,"lost")+COUNTIF('My Bets'!$F$4:$F$297,"void")</f>
        <v/>
      </c>
    </row>
    <row r="8" ht="15" customHeight="1" s="23">
      <c r="A8" s="3" t="inlineStr">
        <is>
          <t>Strike rate (won / settled)</t>
        </is>
      </c>
      <c r="B8" s="6">
        <f>IF(COUNTIF('My Bets'!$F$4:$F$297,"won")+COUNTIF('My Bets'!$F$4:$F$297,"lost")=0,0,COUNTIF('My Bets'!$F$4:$F$297,"won")/(COUNTIF('My Bets'!$F$4:$F$297,"won")+COUNTIF('My Bets'!$F$4:$F$297,"lost")))</f>
        <v/>
      </c>
    </row>
    <row r="9" ht="15" customHeight="1" s="23">
      <c r="A9" s="3" t="inlineStr">
        <is>
          <t>Total staked (settled)</t>
        </is>
      </c>
      <c r="B9" s="4">
        <f>SUMIFS('My Bets'!$E$4:$E$297,'My Bets'!$F$4:$F$297,"won")+SUMIFS('My Bets'!$E$4:$E$297,'My Bets'!$F$4:$F$297,"lost")</f>
        <v/>
      </c>
    </row>
    <row r="10" ht="15" customHeight="1" s="23">
      <c r="A10" s="3" t="inlineStr">
        <is>
          <t>P&amp;L</t>
        </is>
      </c>
      <c r="B10" s="4">
        <f>SUM('My Bets'!$H$4:$H$297)</f>
        <v/>
      </c>
    </row>
    <row r="11" ht="15" customHeight="1" s="23">
      <c r="A11" s="3" t="inlineStr">
        <is>
          <t>ROI on settled stakes</t>
        </is>
      </c>
      <c r="B11" s="6">
        <f>IF(SUMIFS('My Bets'!$E$4:$E$297,'My Bets'!$F$4:$F$297,"won")+SUMIFS('My Bets'!$E$4:$E$297,'My Bets'!$F$4:$F$297,"lost")=0,0,SUM('My Bets'!$H$4:$H$297)/(SUMIFS('My Bets'!$E$4:$E$297,'My Bets'!$F$4:$F$297,"won")+SUMIFS('My Bets'!$E$4:$E$297,'My Bets'!$F$4:$F$297,"lost")))</f>
        <v/>
      </c>
    </row>
    <row r="13" ht="15" customHeight="1" s="23">
      <c r="A13" s="22" t="inlineStr">
        <is>
          <t>Project ledger (model, auto-tracked)</t>
        </is>
      </c>
    </row>
    <row r="14" ht="15" customHeight="1" s="23">
      <c r="A14" s="3" t="inlineStr">
        <is>
          <t>Bankroll (started £100)</t>
        </is>
      </c>
      <c r="B14" s="4">
        <f>100+SUM('Project Ledger'!J:J)</f>
        <v/>
      </c>
    </row>
    <row r="15" ht="15" customHeight="1" s="23">
      <c r="A15" s="3" t="inlineStr">
        <is>
          <t>Open stakes at risk</t>
        </is>
      </c>
      <c r="B15" s="4">
        <f>SUMIFS('Project Ledger'!H:H,'Project Ledger'!I:I,"open")</f>
        <v/>
      </c>
    </row>
    <row r="16" ht="15" customHeight="1" s="23">
      <c r="A16" s="3" t="inlineStr">
        <is>
          <t>Settled bets</t>
        </is>
      </c>
      <c r="B16" s="5">
        <f>COUNTIF('Project Ledger'!I:I,"won")+COUNTIF('Project Ledger'!I:I,"lost")</f>
        <v/>
      </c>
    </row>
    <row r="17" ht="15" customHeight="1" s="23">
      <c r="A17" s="3" t="inlineStr">
        <is>
          <t>Strike rate</t>
        </is>
      </c>
      <c r="B17" s="6">
        <f>IF(COUNTIF('Project Ledger'!I:I,"won")+COUNTIF('Project Ledger'!I:I,"lost")=0,0,COUNTIF('Project Ledger'!I:I,"won")/(COUNTIF('Project Ledger'!I:I,"won")+COUNTIF('Project Ledger'!I:I,"lost")))</f>
        <v/>
      </c>
    </row>
    <row r="18" ht="15" customHeight="1" s="23">
      <c r="A18" s="3" t="inlineStr">
        <is>
          <t>P&amp;L</t>
        </is>
      </c>
      <c r="B18" s="4">
        <f>SUM('Project Ledger'!J:J)</f>
        <v/>
      </c>
    </row>
    <row r="20" ht="15" customHeight="1" s="23">
      <c r="A20" s="22" t="inlineStr">
        <is>
          <t>Combined</t>
        </is>
      </c>
    </row>
    <row r="21" ht="15" customHeight="1" s="23">
      <c r="A21" s="3" t="inlineStr">
        <is>
          <t>Total P&amp;L</t>
        </is>
      </c>
      <c r="B21" s="4">
        <f>SUM('My Bets'!$H$4:$H$297)+SUM('Project Ledger'!J:J)</f>
        <v/>
      </c>
    </row>
    <row r="22" ht="15" customHeight="1" s="23">
      <c r="A22" s="3" t="inlineStr">
        <is>
          <t>Total at risk</t>
        </is>
      </c>
      <c r="B22" s="4">
        <f>SUMIFS('My Bets'!$E$4:$E$297,'My Bets'!$F$4:$F$297,"open")+SUMIFS('Project Ledger'!H:H,'Project Ledger'!I:I,"open")</f>
        <v/>
      </c>
    </row>
  </sheetData>
  <mergeCells count="3">
    <mergeCell ref="A4:C4"/>
    <mergeCell ref="A20:C20"/>
    <mergeCell ref="A13:C13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7"/>
  <sheetViews>
    <sheetView zoomScale="130" zoomScaleNormal="130" workbookViewId="0">
      <pane ySplit="3" topLeftCell="A4" activePane="bottomLeft" state="frozen"/>
      <selection pane="bottomLeft" activeCell="C19" sqref="C19"/>
    </sheetView>
  </sheetViews>
  <sheetFormatPr baseColWidth="10" defaultColWidth="8.6640625" defaultRowHeight="15"/>
  <cols>
    <col width="11" customWidth="1" style="23" min="1" max="1"/>
    <col width="30" customWidth="1" style="23" min="2" max="2"/>
    <col width="28" customWidth="1" style="23" min="3" max="3"/>
    <col width="8" customWidth="1" style="23" min="4" max="4"/>
    <col width="10" customWidth="1" style="23" min="5" max="5"/>
    <col width="8" customWidth="1" style="23" min="6" max="6"/>
    <col width="11" customWidth="1" style="23" min="7" max="8"/>
    <col width="12" customWidth="1" style="23" min="9" max="9"/>
    <col width="30" customWidth="1" style="23" min="10" max="10"/>
  </cols>
  <sheetData>
    <row r="1" ht="17.25" customHeight="1" s="23">
      <c r="A1" s="1" t="inlineStr">
        <is>
          <t>My Betting Log</t>
        </is>
      </c>
      <c r="G1" s="7" t="inlineStr">
        <is>
          <t>Starting bankroll (£):</t>
        </is>
      </c>
      <c r="H1" s="8" t="n">
        <v>41</v>
      </c>
    </row>
    <row r="2" ht="15" customHeight="1" s="23">
      <c r="A2" s="9" t="inlineStr">
        <is>
          <t>Each-way bets: enter as two rows like the project ledger — one for the win part, one for the place part at place odds (e.g. 67.0 win / 34.0 place for 1/2 odds). Status: open, won, lost or void.</t>
        </is>
      </c>
    </row>
    <row r="3" ht="15" customHeight="1" s="23">
      <c r="A3" s="10" t="inlineStr">
        <is>
          <t>Date</t>
        </is>
      </c>
      <c r="B3" s="10" t="inlineStr">
        <is>
          <t>Event</t>
        </is>
      </c>
      <c r="C3" s="10" t="inlineStr">
        <is>
          <t>Selection</t>
        </is>
      </c>
      <c r="D3" s="10" t="inlineStr">
        <is>
          <t>Odds</t>
        </is>
      </c>
      <c r="E3" s="10" t="inlineStr">
        <is>
          <t>Stake (£)</t>
        </is>
      </c>
      <c r="F3" s="10" t="inlineStr">
        <is>
          <t>Status</t>
        </is>
      </c>
      <c r="G3" s="10" t="inlineStr">
        <is>
          <t>Returns (£)</t>
        </is>
      </c>
      <c r="H3" s="10" t="inlineStr">
        <is>
          <t>P&amp;L (£)</t>
        </is>
      </c>
      <c r="I3" s="10" t="inlineStr">
        <is>
          <t>Balance (£)</t>
        </is>
      </c>
      <c r="J3" s="10" t="inlineStr">
        <is>
          <t>Notes</t>
        </is>
      </c>
    </row>
    <row r="4" ht="15" customHeight="1" s="23">
      <c r="A4" s="11" t="n"/>
      <c r="B4" s="12" t="n"/>
      <c r="C4" s="12" t="n"/>
      <c r="D4" s="13" t="n"/>
      <c r="E4" s="14" t="n"/>
      <c r="F4" s="12" t="n"/>
      <c r="G4" s="15">
        <f>IF($A4="","",IF($F4="won",$E4*$D4,IF($F4="void",$E4,0)))</f>
        <v/>
      </c>
      <c r="H4" s="15">
        <f>IF($A4="","",IF(OR($F4="open",$F4=""),0,$G4-$E4))</f>
        <v/>
      </c>
      <c r="I4" s="15">
        <f>IF($A4="","",$H$1+SUM($H$4:$H4)-SUMIFS($E$4:$E4,$F$4:$F4,"open"))</f>
        <v/>
      </c>
      <c r="J4" s="12" t="n"/>
    </row>
    <row r="5" ht="15" customHeight="1" s="23">
      <c r="A5" s="11" t="n"/>
      <c r="B5" s="12" t="n"/>
      <c r="C5" s="12" t="n"/>
      <c r="D5" s="13" t="n"/>
      <c r="E5" s="14" t="n"/>
      <c r="F5" s="12" t="n"/>
      <c r="G5" s="15">
        <f>IF($A5="","",IF($F5="won",$E5*$D5,IF($F5="void",$E5,0)))</f>
        <v/>
      </c>
      <c r="H5" s="15">
        <f>IF($A5="","",IF(OR($F5="open",$F5=""),0,$G5-$E5))</f>
        <v/>
      </c>
      <c r="I5" s="15">
        <f>IF($A5="","",$H$1+SUM($H$4:$H5)-SUMIFS($E$4:$E5,$F$4:$F5,"open"))</f>
        <v/>
      </c>
      <c r="J5" s="12" t="n"/>
    </row>
    <row r="6" ht="15" customHeight="1" s="23">
      <c r="A6" s="11" t="n"/>
      <c r="B6" s="12" t="n"/>
      <c r="C6" s="12" t="n"/>
      <c r="D6" s="13" t="n"/>
      <c r="E6" s="14" t="n"/>
      <c r="F6" s="12" t="n"/>
      <c r="G6" s="15">
        <f>IF($A6="","",IF($F6="won",$E6*$D6,IF($F6="void",$E6,0)))</f>
        <v/>
      </c>
      <c r="H6" s="15">
        <f>IF($A6="","",IF(OR($F6="open",$F6=""),0,$G6-$E6))</f>
        <v/>
      </c>
      <c r="I6" s="15">
        <f>IF($A6="","",$H$1+SUM($H$4:$H6)-SUMIFS($E$4:$E6,$F$4:$F6,"open"))</f>
        <v/>
      </c>
      <c r="J6" s="12" t="n"/>
    </row>
    <row r="7" ht="15" customHeight="1" s="23">
      <c r="A7" s="11" t="n"/>
      <c r="B7" s="12" t="n"/>
      <c r="C7" s="12" t="n"/>
      <c r="D7" s="13" t="n"/>
      <c r="E7" s="14" t="n"/>
      <c r="F7" s="12" t="n"/>
      <c r="G7" s="15">
        <f>IF($A7="","",IF($F7="won",$E7*$D7,IF($F7="void",$E7,0)))</f>
        <v/>
      </c>
      <c r="H7" s="15">
        <f>IF($A7="","",IF(OR($F7="open",$F7=""),0,$G7-$E7))</f>
        <v/>
      </c>
      <c r="I7" s="15">
        <f>IF($A7="","",$H$1+SUM($H$4:$H7)-SUMIFS($E$4:$E7,$F$4:$F7,"open"))</f>
        <v/>
      </c>
      <c r="J7" s="12" t="n"/>
    </row>
    <row r="8" ht="15" customHeight="1" s="23">
      <c r="A8" s="11" t="n"/>
      <c r="B8" s="12" t="n"/>
      <c r="C8" s="12" t="n"/>
      <c r="D8" s="13" t="n"/>
      <c r="E8" s="14" t="n"/>
      <c r="F8" s="12" t="n"/>
      <c r="G8" s="15">
        <f>IF($A8="","",IF($F8="won",$E8*$D8,IF($F8="void",$E8,0)))</f>
        <v/>
      </c>
      <c r="H8" s="15">
        <f>IF($A8="","",IF(OR($F8="open",$F8=""),0,$G8-$E8))</f>
        <v/>
      </c>
      <c r="I8" s="15">
        <f>IF($A8="","",$H$1+SUM($H$4:$H8)-SUMIFS($E$4:$E8,$F$4:$F8,"open"))</f>
        <v/>
      </c>
      <c r="J8" s="12" t="n"/>
    </row>
    <row r="9" ht="15" customHeight="1" s="23">
      <c r="A9" s="11" t="n"/>
      <c r="B9" s="12" t="n"/>
      <c r="C9" s="12" t="n"/>
      <c r="D9" s="13" t="n"/>
      <c r="E9" s="14" t="n"/>
      <c r="F9" s="12" t="n"/>
      <c r="G9" s="15">
        <f>IF($A9="","",IF($F9="won",$E9*$D9,IF($F9="void",$E9,0)))</f>
        <v/>
      </c>
      <c r="H9" s="15">
        <f>IF($A9="","",IF(OR($F9="open",$F9=""),0,$G9-$E9))</f>
        <v/>
      </c>
      <c r="I9" s="15">
        <f>IF($A9="","",$H$1+SUM($H$4:$H9)-SUMIFS($E$4:$E9,$F$4:$F9,"open"))</f>
        <v/>
      </c>
      <c r="J9" s="12" t="n"/>
    </row>
    <row r="10" ht="15" customHeight="1" s="23">
      <c r="A10" s="11" t="n"/>
      <c r="B10" s="12" t="n"/>
      <c r="C10" s="12" t="n"/>
      <c r="D10" s="13" t="n"/>
      <c r="E10" s="14" t="n"/>
      <c r="F10" s="12" t="n"/>
      <c r="G10" s="15">
        <f>IF($A10="","",IF($F10="won",$E10*$D10,IF($F10="void",$E10,0)))</f>
        <v/>
      </c>
      <c r="H10" s="15">
        <f>IF($A10="","",IF(OR($F10="open",$F10=""),0,$G10-$E10))</f>
        <v/>
      </c>
      <c r="I10" s="15">
        <f>IF($A10="","",$H$1+SUM($H$4:$H10)-SUMIFS($E$4:$E10,$F$4:$F10,"open"))</f>
        <v/>
      </c>
      <c r="J10" s="12" t="n"/>
    </row>
    <row r="11" ht="15" customHeight="1" s="23">
      <c r="A11" s="11" t="n"/>
      <c r="B11" s="12" t="n"/>
      <c r="C11" s="12" t="n"/>
      <c r="D11" s="13" t="n"/>
      <c r="E11" s="14" t="n"/>
      <c r="F11" s="12" t="n"/>
      <c r="G11" s="15">
        <f>IF($A11="","",IF($F11="won",$E11*$D11,IF($F11="void",$E11,0)))</f>
        <v/>
      </c>
      <c r="H11" s="15">
        <f>IF($A11="","",IF(OR($F11="open",$F11=""),0,$G11-$E11))</f>
        <v/>
      </c>
      <c r="I11" s="15">
        <f>IF($A11="","",$H$1+SUM($H$4:$H11)-SUMIFS($E$4:$E11,$F$4:$F11,"open"))</f>
        <v/>
      </c>
      <c r="J11" s="12" t="n"/>
    </row>
    <row r="12" ht="15" customHeight="1" s="23">
      <c r="A12" s="11" t="n"/>
      <c r="B12" s="12" t="n"/>
      <c r="C12" s="12" t="n"/>
      <c r="D12" s="13" t="n"/>
      <c r="E12" s="14" t="n"/>
      <c r="F12" s="12" t="n"/>
      <c r="G12" s="15">
        <f>IF($A12="","",IF($F12="won",$E12*$D12,IF($F12="void",$E12,0)))</f>
        <v/>
      </c>
      <c r="H12" s="15">
        <f>IF($A12="","",IF(OR($F12="open",$F12=""),0,$G12-$E12))</f>
        <v/>
      </c>
      <c r="I12" s="15">
        <f>IF($A12="","",$H$1+SUM($H$4:$H12)-SUMIFS($E$4:$E12,$F$4:$F12,"open"))</f>
        <v/>
      </c>
      <c r="J12" s="12" t="n"/>
    </row>
    <row r="13" ht="15" customHeight="1" s="23">
      <c r="A13" s="11" t="n"/>
      <c r="B13" s="12" t="n"/>
      <c r="C13" s="12" t="n"/>
      <c r="D13" s="13" t="n"/>
      <c r="E13" s="14" t="n"/>
      <c r="F13" s="12" t="n"/>
      <c r="G13" s="15">
        <f>IF($A13="","",IF($F13="won",$E13*$D13,IF($F13="void",$E13,0)))</f>
        <v/>
      </c>
      <c r="H13" s="15">
        <f>IF($A13="","",IF(OR($F13="open",$F13=""),0,$G13-$E13))</f>
        <v/>
      </c>
      <c r="I13" s="15">
        <f>IF($A13="","",$H$1+SUM($H$4:$H13)-SUMIFS($E$4:$E13,$F$4:$F13,"open"))</f>
        <v/>
      </c>
      <c r="J13" s="12" t="n"/>
    </row>
    <row r="14" ht="15" customHeight="1" s="23">
      <c r="A14" s="11" t="n"/>
      <c r="B14" s="12" t="n"/>
      <c r="C14" s="12" t="n"/>
      <c r="D14" s="13" t="n"/>
      <c r="E14" s="14" t="n"/>
      <c r="F14" s="12" t="n"/>
      <c r="G14" s="15">
        <f>IF($A14="","",IF($F14="won",$E14*$D14,IF($F14="void",$E14,0)))</f>
        <v/>
      </c>
      <c r="H14" s="15">
        <f>IF($A14="","",IF(OR($F14="open",$F14=""),0,$G14-$E14))</f>
        <v/>
      </c>
      <c r="I14" s="15">
        <f>IF($A14="","",$H$1+SUM($H$4:$H14)-SUMIFS($E$4:$E14,$F$4:$F14,"open"))</f>
        <v/>
      </c>
      <c r="J14" s="12" t="n"/>
    </row>
    <row r="15" ht="15" customHeight="1" s="23">
      <c r="A15" s="11" t="n"/>
      <c r="B15" s="12" t="n"/>
      <c r="C15" s="12" t="n"/>
      <c r="D15" s="13" t="n"/>
      <c r="E15" s="14" t="n"/>
      <c r="F15" s="12" t="n"/>
      <c r="G15" s="15">
        <f>IF($A15="","",IF($F15="won",$E15*$D15,IF($F15="void",$E15,0)))</f>
        <v/>
      </c>
      <c r="H15" s="15">
        <f>IF($A15="","",IF(OR($F15="open",$F15=""),0,$G15-$E15))</f>
        <v/>
      </c>
      <c r="I15" s="15">
        <f>IF($A15="","",$H$1+SUM($H$4:$H15)-SUMIFS($E$4:$E15,$F$4:$F15,"open"))</f>
        <v/>
      </c>
      <c r="J15" s="12" t="n"/>
    </row>
    <row r="16" ht="15" customHeight="1" s="23">
      <c r="A16" s="11" t="n"/>
      <c r="B16" s="12" t="n"/>
      <c r="C16" s="12" t="n"/>
      <c r="D16" s="13" t="n"/>
      <c r="E16" s="14" t="n"/>
      <c r="F16" s="12" t="n"/>
      <c r="G16" s="15">
        <f>IF($A16="","",IF($F16="won",$E16*$D16,IF($F16="void",$E16,0)))</f>
        <v/>
      </c>
      <c r="H16" s="15">
        <f>IF($A16="","",IF(OR($F16="open",$F16=""),0,$G16-$E16))</f>
        <v/>
      </c>
      <c r="I16" s="15">
        <f>IF($A16="","",$H$1+SUM($H$4:$H16)-SUMIFS($E$4:$E16,$F$4:$F16,"open"))</f>
        <v/>
      </c>
      <c r="J16" s="12" t="n"/>
    </row>
    <row r="17" ht="15" customHeight="1" s="23">
      <c r="A17" s="11" t="n"/>
      <c r="B17" s="12" t="n"/>
      <c r="C17" s="12" t="n"/>
      <c r="D17" s="13" t="n"/>
      <c r="E17" s="14" t="n"/>
      <c r="F17" s="12" t="n"/>
      <c r="G17" s="15">
        <f>IF($A17="","",IF($F17="won",$E17*$D17,IF($F17="void",$E17,0)))</f>
        <v/>
      </c>
      <c r="H17" s="15">
        <f>IF($A17="","",IF(OR($F17="open",$F17=""),0,$G17-$E17))</f>
        <v/>
      </c>
      <c r="I17" s="15">
        <f>IF($A17="","",$H$1+SUM($H$4:$H17)-SUMIFS($E$4:$E17,$F$4:$F17,"open"))</f>
        <v/>
      </c>
      <c r="J17" s="12" t="n"/>
    </row>
    <row r="18" ht="15" customHeight="1" s="23">
      <c r="A18" s="11" t="n"/>
      <c r="B18" s="12" t="n"/>
      <c r="C18" s="12" t="n"/>
      <c r="D18" s="13" t="n"/>
      <c r="E18" s="14" t="n"/>
      <c r="F18" s="12" t="n"/>
      <c r="G18" s="15">
        <f>IF($A18="","",IF($F18="won",$E18*$D18,IF($F18="void",$E18,0)))</f>
        <v/>
      </c>
      <c r="H18" s="15">
        <f>IF($A18="","",IF(OR($F18="open",$F18=""),0,$G18-$E18))</f>
        <v/>
      </c>
      <c r="I18" s="15">
        <f>IF($A18="","",$H$1+SUM($H$4:$H18)-SUMIFS($E$4:$E18,$F$4:$F18,"open"))</f>
        <v/>
      </c>
      <c r="J18" s="12" t="n"/>
    </row>
    <row r="19" ht="15" customHeight="1" s="23">
      <c r="A19" s="11" t="n"/>
      <c r="B19" s="12" t="n"/>
      <c r="C19" s="12" t="n"/>
      <c r="D19" s="13" t="n"/>
      <c r="E19" s="14" t="n"/>
      <c r="F19" s="12" t="n"/>
      <c r="G19" s="15">
        <f>IF($A19="","",IF($F19="won",$E19*$D19,IF($F19="void",$E19,0)))</f>
        <v/>
      </c>
      <c r="H19" s="15">
        <f>IF($A19="","",IF(OR($F19="open",$F19=""),0,$G19-$E19))</f>
        <v/>
      </c>
      <c r="I19" s="15">
        <f>IF($A19="","",$H$1+SUM($H$4:$H19)-SUMIFS($E$4:$E19,$F$4:$F19,"open"))</f>
        <v/>
      </c>
      <c r="J19" s="12" t="n"/>
    </row>
    <row r="20" ht="15" customHeight="1" s="23">
      <c r="A20" s="11" t="n"/>
      <c r="B20" s="12" t="n"/>
      <c r="C20" s="12" t="n"/>
      <c r="D20" s="13" t="n"/>
      <c r="E20" s="14" t="n"/>
      <c r="F20" s="12" t="n"/>
      <c r="G20" s="15">
        <f>IF($A20="","",IF($F20="won",$E20*$D20,IF($F20="void",$E20,0)))</f>
        <v/>
      </c>
      <c r="H20" s="15">
        <f>IF($A20="","",IF(OR($F20="open",$F20=""),0,$G20-$E20))</f>
        <v/>
      </c>
      <c r="I20" s="15">
        <f>IF($A20="","",$H$1+SUM($H$4:$H20)-SUMIFS($E$4:$E20,$F$4:$F20,"open"))</f>
        <v/>
      </c>
      <c r="J20" s="12" t="n"/>
    </row>
    <row r="21" ht="15" customHeight="1" s="23">
      <c r="A21" s="11" t="n"/>
      <c r="B21" s="12" t="n"/>
      <c r="C21" s="12" t="n"/>
      <c r="D21" s="13" t="n"/>
      <c r="E21" s="14" t="n"/>
      <c r="F21" s="12" t="n"/>
      <c r="G21" s="15">
        <f>IF($A21="","",IF($F21="won",$E21*$D21,IF($F21="void",$E21,0)))</f>
        <v/>
      </c>
      <c r="H21" s="15">
        <f>IF($A21="","",IF(OR($F21="open",$F21=""),0,$G21-$E21))</f>
        <v/>
      </c>
      <c r="I21" s="15">
        <f>IF($A21="","",$H$1+SUM($H$4:$H21)-SUMIFS($E$4:$E21,$F$4:$F21,"open"))</f>
        <v/>
      </c>
      <c r="J21" s="12" t="n"/>
    </row>
    <row r="22" ht="15" customHeight="1" s="23">
      <c r="A22" s="11" t="n"/>
      <c r="B22" s="12" t="n"/>
      <c r="C22" s="12" t="n"/>
      <c r="D22" s="13" t="n"/>
      <c r="E22" s="14" t="n"/>
      <c r="F22" s="12" t="n"/>
      <c r="G22" s="15">
        <f>IF($A22="","",IF($F22="won",$E22*$D22,IF($F22="void",$E22,0)))</f>
        <v/>
      </c>
      <c r="H22" s="15">
        <f>IF($A22="","",IF(OR($F22="open",$F22=""),0,$G22-$E22))</f>
        <v/>
      </c>
      <c r="I22" s="15">
        <f>IF($A22="","",$H$1+SUM($H$4:$H22)-SUMIFS($E$4:$E22,$F$4:$F22,"open"))</f>
        <v/>
      </c>
      <c r="J22" s="12" t="n"/>
    </row>
    <row r="23" ht="15" customHeight="1" s="23">
      <c r="A23" s="11" t="n"/>
      <c r="B23" s="12" t="n"/>
      <c r="C23" s="12" t="n"/>
      <c r="D23" s="13" t="n"/>
      <c r="E23" s="14" t="n"/>
      <c r="F23" s="12" t="n"/>
      <c r="G23" s="15">
        <f>IF($A23="","",IF($F23="won",$E23*$D23,IF($F23="void",$E23,0)))</f>
        <v/>
      </c>
      <c r="H23" s="15">
        <f>IF($A23="","",IF(OR($F23="open",$F23=""),0,$G23-$E23))</f>
        <v/>
      </c>
      <c r="I23" s="15">
        <f>IF($A23="","",$H$1+SUM($H$4:$H23)-SUMIFS($E$4:$E23,$F$4:$F23,"open"))</f>
        <v/>
      </c>
      <c r="J23" s="12" t="n"/>
    </row>
    <row r="24" ht="15" customHeight="1" s="23">
      <c r="A24" s="11" t="n"/>
      <c r="B24" s="12" t="n"/>
      <c r="C24" s="12" t="n"/>
      <c r="D24" s="13" t="n"/>
      <c r="E24" s="14" t="n"/>
      <c r="F24" s="12" t="n"/>
      <c r="G24" s="15">
        <f>IF($A24="","",IF($F24="won",$E24*$D24,IF($F24="void",$E24,0)))</f>
        <v/>
      </c>
      <c r="H24" s="15">
        <f>IF($A24="","",IF(OR($F24="open",$F24=""),0,$G24-$E24))</f>
        <v/>
      </c>
      <c r="I24" s="15">
        <f>IF($A24="","",$H$1+SUM($H$4:$H24)-SUMIFS($E$4:$E24,$F$4:$F24,"open"))</f>
        <v/>
      </c>
      <c r="J24" s="12" t="n"/>
    </row>
    <row r="25" ht="15" customHeight="1" s="23">
      <c r="A25" s="11" t="n"/>
      <c r="B25" s="12" t="n"/>
      <c r="C25" s="12" t="n"/>
      <c r="D25" s="13" t="n"/>
      <c r="E25" s="14" t="n"/>
      <c r="F25" s="12" t="n"/>
      <c r="G25" s="15">
        <f>IF($A25="","",IF($F25="won",$E25*$D25,IF($F25="void",$E25,0)))</f>
        <v/>
      </c>
      <c r="H25" s="15">
        <f>IF($A25="","",IF(OR($F25="open",$F25=""),0,$G25-$E25))</f>
        <v/>
      </c>
      <c r="I25" s="15">
        <f>IF($A25="","",$H$1+SUM($H$4:$H25)-SUMIFS($E$4:$E25,$F$4:$F25,"open"))</f>
        <v/>
      </c>
      <c r="J25" s="12" t="n"/>
    </row>
    <row r="26" ht="15" customHeight="1" s="23">
      <c r="A26" s="11" t="n"/>
      <c r="B26" s="12" t="n"/>
      <c r="C26" s="12" t="n"/>
      <c r="D26" s="13" t="n"/>
      <c r="E26" s="14" t="n"/>
      <c r="F26" s="12" t="n"/>
      <c r="G26" s="15">
        <f>IF($A26="","",IF($F26="won",$E26*$D26,IF($F26="void",$E26,0)))</f>
        <v/>
      </c>
      <c r="H26" s="15">
        <f>IF($A26="","",IF(OR($F26="open",$F26=""),0,$G26-$E26))</f>
        <v/>
      </c>
      <c r="I26" s="15">
        <f>IF($A26="","",$H$1+SUM($H$4:$H26)-SUMIFS($E$4:$E26,$F$4:$F26,"open"))</f>
        <v/>
      </c>
      <c r="J26" s="12" t="n"/>
    </row>
    <row r="27" ht="15" customHeight="1" s="23">
      <c r="A27" s="11" t="n"/>
      <c r="B27" s="12" t="n"/>
      <c r="C27" s="12" t="n"/>
      <c r="D27" s="13" t="n"/>
      <c r="E27" s="14" t="n"/>
      <c r="F27" s="12" t="n"/>
      <c r="G27" s="15">
        <f>IF($A27="","",IF($F27="won",$E27*$D27,IF($F27="void",$E27,0)))</f>
        <v/>
      </c>
      <c r="H27" s="15">
        <f>IF($A27="","",IF(OR($F27="open",$F27=""),0,$G27-$E27))</f>
        <v/>
      </c>
      <c r="I27" s="15">
        <f>IF($A27="","",$H$1+SUM($H$4:$H27)-SUMIFS($E$4:$E27,$F$4:$F27,"open"))</f>
        <v/>
      </c>
      <c r="J27" s="12" t="n"/>
    </row>
    <row r="28" ht="15" customHeight="1" s="23">
      <c r="A28" s="11" t="n"/>
      <c r="B28" s="12" t="n"/>
      <c r="C28" s="12" t="n"/>
      <c r="D28" s="13" t="n"/>
      <c r="E28" s="14" t="n"/>
      <c r="F28" s="12" t="n"/>
      <c r="G28" s="15">
        <f>IF($A28="","",IF($F28="won",$E28*$D28,IF($F28="void",$E28,0)))</f>
        <v/>
      </c>
      <c r="H28" s="15">
        <f>IF($A28="","",IF(OR($F28="open",$F28=""),0,$G28-$E28))</f>
        <v/>
      </c>
      <c r="I28" s="15">
        <f>IF($A28="","",$H$1+SUM($H$4:$H28)-SUMIFS($E$4:$E28,$F$4:$F28,"open"))</f>
        <v/>
      </c>
      <c r="J28" s="12" t="n"/>
    </row>
    <row r="29" ht="15" customHeight="1" s="23">
      <c r="A29" s="11" t="n"/>
      <c r="B29" s="12" t="n"/>
      <c r="C29" s="12" t="n"/>
      <c r="D29" s="13" t="n"/>
      <c r="E29" s="14" t="n"/>
      <c r="F29" s="12" t="n"/>
      <c r="G29" s="15">
        <f>IF($A29="","",IF($F29="won",$E29*$D29,IF($F29="void",$E29,0)))</f>
        <v/>
      </c>
      <c r="H29" s="15">
        <f>IF($A29="","",IF(OR($F29="open",$F29=""),0,$G29-$E29))</f>
        <v/>
      </c>
      <c r="I29" s="15">
        <f>IF($A29="","",$H$1+SUM($H$4:$H29)-SUMIFS($E$4:$E29,$F$4:$F29,"open"))</f>
        <v/>
      </c>
      <c r="J29" s="12" t="n"/>
    </row>
    <row r="30" ht="15" customHeight="1" s="23">
      <c r="A30" s="11" t="n"/>
      <c r="B30" s="12" t="n"/>
      <c r="C30" s="12" t="n"/>
      <c r="D30" s="13" t="n"/>
      <c r="E30" s="14" t="n"/>
      <c r="F30" s="12" t="n"/>
      <c r="G30" s="15">
        <f>IF($A30="","",IF($F30="won",$E30*$D30,IF($F30="void",$E30,0)))</f>
        <v/>
      </c>
      <c r="H30" s="15">
        <f>IF($A30="","",IF(OR($F30="open",$F30=""),0,$G30-$E30))</f>
        <v/>
      </c>
      <c r="I30" s="15">
        <f>IF($A30="","",$H$1+SUM($H$4:$H30)-SUMIFS($E$4:$E30,$F$4:$F30,"open"))</f>
        <v/>
      </c>
      <c r="J30" s="12" t="n"/>
    </row>
    <row r="31" ht="15" customHeight="1" s="23">
      <c r="A31" s="11" t="n"/>
      <c r="B31" s="12" t="n"/>
      <c r="C31" s="12" t="n"/>
      <c r="D31" s="13" t="n"/>
      <c r="E31" s="14" t="n"/>
      <c r="F31" s="12" t="n"/>
      <c r="G31" s="15">
        <f>IF($A31="","",IF($F31="won",$E31*$D31,IF($F31="void",$E31,0)))</f>
        <v/>
      </c>
      <c r="H31" s="15">
        <f>IF($A31="","",IF(OR($F31="open",$F31=""),0,$G31-$E31))</f>
        <v/>
      </c>
      <c r="I31" s="15">
        <f>IF($A31="","",$H$1+SUM($H$4:$H31)-SUMIFS($E$4:$E31,$F$4:$F31,"open"))</f>
        <v/>
      </c>
      <c r="J31" s="12" t="n"/>
    </row>
    <row r="32" ht="15" customHeight="1" s="23">
      <c r="A32" s="11" t="n"/>
      <c r="B32" s="12" t="n"/>
      <c r="C32" s="12" t="n"/>
      <c r="D32" s="13" t="n"/>
      <c r="E32" s="14" t="n"/>
      <c r="F32" s="12" t="n"/>
      <c r="G32" s="15">
        <f>IF($A32="","",IF($F32="won",$E32*$D32,IF($F32="void",$E32,0)))</f>
        <v/>
      </c>
      <c r="H32" s="15">
        <f>IF($A32="","",IF(OR($F32="open",$F32=""),0,$G32-$E32))</f>
        <v/>
      </c>
      <c r="I32" s="15">
        <f>IF($A32="","",$H$1+SUM($H$4:$H32)-SUMIFS($E$4:$E32,$F$4:$F32,"open"))</f>
        <v/>
      </c>
      <c r="J32" s="12" t="n"/>
    </row>
    <row r="33" ht="15" customHeight="1" s="23">
      <c r="A33" s="11" t="n"/>
      <c r="B33" s="12" t="n"/>
      <c r="C33" s="12" t="n"/>
      <c r="D33" s="13" t="n"/>
      <c r="E33" s="14" t="n"/>
      <c r="F33" s="12" t="n"/>
      <c r="G33" s="15">
        <f>IF($A33="","",IF($F33="won",$E33*$D33,IF($F33="void",$E33,0)))</f>
        <v/>
      </c>
      <c r="H33" s="15">
        <f>IF($A33="","",IF(OR($F33="open",$F33=""),0,$G33-$E33))</f>
        <v/>
      </c>
      <c r="I33" s="15">
        <f>IF($A33="","",$H$1+SUM($H$4:$H33)-SUMIFS($E$4:$E33,$F$4:$F33,"open"))</f>
        <v/>
      </c>
      <c r="J33" s="12" t="n"/>
    </row>
    <row r="34" ht="15" customHeight="1" s="23">
      <c r="A34" s="11" t="n"/>
      <c r="B34" s="12" t="n"/>
      <c r="C34" s="12" t="n"/>
      <c r="D34" s="13" t="n"/>
      <c r="E34" s="14" t="n"/>
      <c r="F34" s="12" t="n"/>
      <c r="G34" s="15">
        <f>IF($A34="","",IF($F34="won",$E34*$D34,IF($F34="void",$E34,0)))</f>
        <v/>
      </c>
      <c r="H34" s="15">
        <f>IF($A34="","",IF(OR($F34="open",$F34=""),0,$G34-$E34))</f>
        <v/>
      </c>
      <c r="I34" s="15">
        <f>IF($A34="","",$H$1+SUM($H$4:$H34)-SUMIFS($E$4:$E34,$F$4:$F34,"open"))</f>
        <v/>
      </c>
      <c r="J34" s="12" t="n"/>
    </row>
    <row r="35" ht="15" customHeight="1" s="23">
      <c r="A35" s="11" t="n"/>
      <c r="B35" s="12" t="n"/>
      <c r="C35" s="12" t="n"/>
      <c r="D35" s="13" t="n"/>
      <c r="E35" s="14" t="n"/>
      <c r="F35" s="12" t="n"/>
      <c r="G35" s="15">
        <f>IF($A35="","",IF($F35="won",$E35*$D35,IF($F35="void",$E35,0)))</f>
        <v/>
      </c>
      <c r="H35" s="15">
        <f>IF($A35="","",IF(OR($F35="open",$F35=""),0,$G35-$E35))</f>
        <v/>
      </c>
      <c r="I35" s="15">
        <f>IF($A35="","",$H$1+SUM($H$4:$H35)-SUMIFS($E$4:$E35,$F$4:$F35,"open"))</f>
        <v/>
      </c>
      <c r="J35" s="12" t="n"/>
    </row>
    <row r="36" ht="15" customHeight="1" s="23">
      <c r="A36" s="11" t="n"/>
      <c r="B36" s="12" t="n"/>
      <c r="C36" s="12" t="n"/>
      <c r="D36" s="13" t="n"/>
      <c r="E36" s="14" t="n"/>
      <c r="F36" s="12" t="n"/>
      <c r="G36" s="15">
        <f>IF($A36="","",IF($F36="won",$E36*$D36,IF($F36="void",$E36,0)))</f>
        <v/>
      </c>
      <c r="H36" s="15">
        <f>IF($A36="","",IF(OR($F36="open",$F36=""),0,$G36-$E36))</f>
        <v/>
      </c>
      <c r="I36" s="15">
        <f>IF($A36="","",$H$1+SUM($H$4:$H36)-SUMIFS($E$4:$E36,$F$4:$F36,"open"))</f>
        <v/>
      </c>
      <c r="J36" s="12" t="n"/>
    </row>
    <row r="37" ht="15" customHeight="1" s="23">
      <c r="A37" s="11" t="n"/>
      <c r="B37" s="12" t="n"/>
      <c r="C37" s="12" t="n"/>
      <c r="D37" s="13" t="n"/>
      <c r="E37" s="14" t="n"/>
      <c r="F37" s="12" t="n"/>
      <c r="G37" s="15">
        <f>IF($A37="","",IF($F37="won",$E37*$D37,IF($F37="void",$E37,0)))</f>
        <v/>
      </c>
      <c r="H37" s="15">
        <f>IF($A37="","",IF(OR($F37="open",$F37=""),0,$G37-$E37))</f>
        <v/>
      </c>
      <c r="I37" s="15">
        <f>IF($A37="","",$H$1+SUM($H$4:$H37)-SUMIFS($E$4:$E37,$F$4:$F37,"open"))</f>
        <v/>
      </c>
      <c r="J37" s="12" t="n"/>
    </row>
    <row r="38" ht="15" customHeight="1" s="23">
      <c r="A38" s="11" t="n"/>
      <c r="B38" s="12" t="n"/>
      <c r="C38" s="12" t="n"/>
      <c r="D38" s="13" t="n"/>
      <c r="E38" s="14" t="n"/>
      <c r="F38" s="12" t="n"/>
      <c r="G38" s="15">
        <f>IF($A38="","",IF($F38="won",$E38*$D38,IF($F38="void",$E38,0)))</f>
        <v/>
      </c>
      <c r="H38" s="15">
        <f>IF($A38="","",IF(OR($F38="open",$F38=""),0,$G38-$E38))</f>
        <v/>
      </c>
      <c r="I38" s="15">
        <f>IF($A38="","",$H$1+SUM($H$4:$H38)-SUMIFS($E$4:$E38,$F$4:$F38,"open"))</f>
        <v/>
      </c>
      <c r="J38" s="12" t="n"/>
    </row>
    <row r="39" ht="15" customHeight="1" s="23">
      <c r="A39" s="11" t="n"/>
      <c r="B39" s="12" t="n"/>
      <c r="C39" s="12" t="n"/>
      <c r="D39" s="13" t="n"/>
      <c r="E39" s="14" t="n"/>
      <c r="F39" s="12" t="n"/>
      <c r="G39" s="15">
        <f>IF($A39="","",IF($F39="won",$E39*$D39,IF($F39="void",$E39,0)))</f>
        <v/>
      </c>
      <c r="H39" s="15">
        <f>IF($A39="","",IF(OR($F39="open",$F39=""),0,$G39-$E39))</f>
        <v/>
      </c>
      <c r="I39" s="15">
        <f>IF($A39="","",$H$1+SUM($H$4:$H39)-SUMIFS($E$4:$E39,$F$4:$F39,"open"))</f>
        <v/>
      </c>
      <c r="J39" s="12" t="n"/>
    </row>
    <row r="40" ht="15" customHeight="1" s="23">
      <c r="A40" s="11" t="n"/>
      <c r="B40" s="12" t="n"/>
      <c r="C40" s="12" t="n"/>
      <c r="D40" s="13" t="n"/>
      <c r="E40" s="14" t="n"/>
      <c r="F40" s="12" t="n"/>
      <c r="G40" s="15">
        <f>IF($A40="","",IF($F40="won",$E40*$D40,IF($F40="void",$E40,0)))</f>
        <v/>
      </c>
      <c r="H40" s="15">
        <f>IF($A40="","",IF(OR($F40="open",$F40=""),0,$G40-$E40))</f>
        <v/>
      </c>
      <c r="I40" s="15">
        <f>IF($A40="","",$H$1+SUM($H$4:$H40)-SUMIFS($E$4:$E40,$F$4:$F40,"open"))</f>
        <v/>
      </c>
      <c r="J40" s="12" t="n"/>
    </row>
    <row r="41" ht="15" customHeight="1" s="23">
      <c r="A41" s="11" t="n"/>
      <c r="B41" s="12" t="n"/>
      <c r="C41" s="12" t="n"/>
      <c r="D41" s="13" t="n"/>
      <c r="E41" s="14" t="n"/>
      <c r="F41" s="12" t="n"/>
      <c r="G41" s="15">
        <f>IF($A41="","",IF($F41="won",$E41*$D41,IF($F41="void",$E41,0)))</f>
        <v/>
      </c>
      <c r="H41" s="15">
        <f>IF($A41="","",IF(OR($F41="open",$F41=""),0,$G41-$E41))</f>
        <v/>
      </c>
      <c r="I41" s="15">
        <f>IF($A41="","",$H$1+SUM($H$4:$H41)-SUMIFS($E$4:$E41,$F$4:$F41,"open"))</f>
        <v/>
      </c>
      <c r="J41" s="12" t="n"/>
    </row>
    <row r="42" ht="15" customHeight="1" s="23">
      <c r="A42" s="11" t="n"/>
      <c r="B42" s="12" t="n"/>
      <c r="C42" s="12" t="n"/>
      <c r="D42" s="13" t="n"/>
      <c r="E42" s="14" t="n"/>
      <c r="F42" s="12" t="n"/>
      <c r="G42" s="15">
        <f>IF($A42="","",IF($F42="won",$E42*$D42,IF($F42="void",$E42,0)))</f>
        <v/>
      </c>
      <c r="H42" s="15">
        <f>IF($A42="","",IF(OR($F42="open",$F42=""),0,$G42-$E42))</f>
        <v/>
      </c>
      <c r="I42" s="15">
        <f>IF($A42="","",$H$1+SUM($H$4:$H42)-SUMIFS($E$4:$E42,$F$4:$F42,"open"))</f>
        <v/>
      </c>
      <c r="J42" s="12" t="n"/>
    </row>
    <row r="43" ht="15" customHeight="1" s="23">
      <c r="A43" s="11" t="n"/>
      <c r="B43" s="12" t="n"/>
      <c r="C43" s="12" t="n"/>
      <c r="D43" s="13" t="n"/>
      <c r="E43" s="14" t="n"/>
      <c r="F43" s="12" t="n"/>
      <c r="G43" s="15">
        <f>IF($A43="","",IF($F43="won",$E43*$D43,IF($F43="void",$E43,0)))</f>
        <v/>
      </c>
      <c r="H43" s="15">
        <f>IF($A43="","",IF(OR($F43="open",$F43=""),0,$G43-$E43))</f>
        <v/>
      </c>
      <c r="I43" s="15">
        <f>IF($A43="","",$H$1+SUM($H$4:$H43)-SUMIFS($E$4:$E43,$F$4:$F43,"open"))</f>
        <v/>
      </c>
      <c r="J43" s="12" t="n"/>
    </row>
    <row r="44" ht="15" customHeight="1" s="23">
      <c r="A44" s="11" t="n"/>
      <c r="B44" s="12" t="n"/>
      <c r="C44" s="12" t="n"/>
      <c r="D44" s="13" t="n"/>
      <c r="E44" s="14" t="n"/>
      <c r="F44" s="12" t="n"/>
      <c r="G44" s="15">
        <f>IF($A44="","",IF($F44="won",$E44*$D44,IF($F44="void",$E44,0)))</f>
        <v/>
      </c>
      <c r="H44" s="15">
        <f>IF($A44="","",IF(OR($F44="open",$F44=""),0,$G44-$E44))</f>
        <v/>
      </c>
      <c r="I44" s="15">
        <f>IF($A44="","",$H$1+SUM($H$4:$H44)-SUMIFS($E$4:$E44,$F$4:$F44,"open"))</f>
        <v/>
      </c>
      <c r="J44" s="12" t="n"/>
    </row>
    <row r="45" ht="15" customHeight="1" s="23">
      <c r="A45" s="11" t="n"/>
      <c r="B45" s="12" t="n"/>
      <c r="C45" s="12" t="n"/>
      <c r="D45" s="13" t="n"/>
      <c r="E45" s="14" t="n"/>
      <c r="F45" s="12" t="n"/>
      <c r="G45" s="15">
        <f>IF($A45="","",IF($F45="won",$E45*$D45,IF($F45="void",$E45,0)))</f>
        <v/>
      </c>
      <c r="H45" s="15">
        <f>IF($A45="","",IF(OR($F45="open",$F45=""),0,$G45-$E45))</f>
        <v/>
      </c>
      <c r="I45" s="15">
        <f>IF($A45="","",$H$1+SUM($H$4:$H45)-SUMIFS($E$4:$E45,$F$4:$F45,"open"))</f>
        <v/>
      </c>
      <c r="J45" s="12" t="n"/>
    </row>
    <row r="46" ht="15" customHeight="1" s="23">
      <c r="A46" s="11" t="n"/>
      <c r="B46" s="12" t="n"/>
      <c r="C46" s="12" t="n"/>
      <c r="D46" s="13" t="n"/>
      <c r="E46" s="14" t="n"/>
      <c r="F46" s="12" t="n"/>
      <c r="G46" s="15">
        <f>IF($A46="","",IF($F46="won",$E46*$D46,IF($F46="void",$E46,0)))</f>
        <v/>
      </c>
      <c r="H46" s="15">
        <f>IF($A46="","",IF(OR($F46="open",$F46=""),0,$G46-$E46))</f>
        <v/>
      </c>
      <c r="I46" s="15">
        <f>IF($A46="","",$H$1+SUM($H$4:$H46)-SUMIFS($E$4:$E46,$F$4:$F46,"open"))</f>
        <v/>
      </c>
      <c r="J46" s="12" t="n"/>
    </row>
    <row r="47" ht="15" customHeight="1" s="23">
      <c r="A47" s="11" t="n"/>
      <c r="B47" s="12" t="n"/>
      <c r="C47" s="12" t="n"/>
      <c r="D47" s="13" t="n"/>
      <c r="E47" s="14" t="n"/>
      <c r="F47" s="12" t="n"/>
      <c r="G47" s="15">
        <f>IF($A47="","",IF($F47="won",$E47*$D47,IF($F47="void",$E47,0)))</f>
        <v/>
      </c>
      <c r="H47" s="15">
        <f>IF($A47="","",IF(OR($F47="open",$F47=""),0,$G47-$E47))</f>
        <v/>
      </c>
      <c r="I47" s="15">
        <f>IF($A47="","",$H$1+SUM($H$4:$H47)-SUMIFS($E$4:$E47,$F$4:$F47,"open"))</f>
        <v/>
      </c>
      <c r="J47" s="12" t="n"/>
    </row>
    <row r="48" ht="15" customHeight="1" s="23">
      <c r="A48" s="11" t="n"/>
      <c r="B48" s="12" t="n"/>
      <c r="C48" s="12" t="n"/>
      <c r="D48" s="13" t="n"/>
      <c r="E48" s="14" t="n"/>
      <c r="F48" s="12" t="n"/>
      <c r="G48" s="15">
        <f>IF($A48="","",IF($F48="won",$E48*$D48,IF($F48="void",$E48,0)))</f>
        <v/>
      </c>
      <c r="H48" s="15">
        <f>IF($A48="","",IF(OR($F48="open",$F48=""),0,$G48-$E48))</f>
        <v/>
      </c>
      <c r="I48" s="15">
        <f>IF($A48="","",$H$1+SUM($H$4:$H48)-SUMIFS($E$4:$E48,$F$4:$F48,"open"))</f>
        <v/>
      </c>
      <c r="J48" s="12" t="n"/>
    </row>
    <row r="49" ht="15" customHeight="1" s="23">
      <c r="A49" s="11" t="n"/>
      <c r="B49" s="12" t="n"/>
      <c r="C49" s="12" t="n"/>
      <c r="D49" s="13" t="n"/>
      <c r="E49" s="14" t="n"/>
      <c r="F49" s="12" t="n"/>
      <c r="G49" s="15">
        <f>IF($A49="","",IF($F49="won",$E49*$D49,IF($F49="void",$E49,0)))</f>
        <v/>
      </c>
      <c r="H49" s="15">
        <f>IF($A49="","",IF(OR($F49="open",$F49=""),0,$G49-$E49))</f>
        <v/>
      </c>
      <c r="I49" s="15">
        <f>IF($A49="","",$H$1+SUM($H$4:$H49)-SUMIFS($E$4:$E49,$F$4:$F49,"open"))</f>
        <v/>
      </c>
      <c r="J49" s="12" t="n"/>
    </row>
    <row r="50" ht="15" customHeight="1" s="23">
      <c r="A50" s="11" t="n"/>
      <c r="B50" s="12" t="n"/>
      <c r="C50" s="12" t="n"/>
      <c r="D50" s="13" t="n"/>
      <c r="E50" s="14" t="n"/>
      <c r="F50" s="12" t="n"/>
      <c r="G50" s="15">
        <f>IF($A50="","",IF($F50="won",$E50*$D50,IF($F50="void",$E50,0)))</f>
        <v/>
      </c>
      <c r="H50" s="15">
        <f>IF($A50="","",IF(OR($F50="open",$F50=""),0,$G50-$E50))</f>
        <v/>
      </c>
      <c r="I50" s="15">
        <f>IF($A50="","",$H$1+SUM($H$4:$H50)-SUMIFS($E$4:$E50,$F$4:$F50,"open"))</f>
        <v/>
      </c>
      <c r="J50" s="12" t="n"/>
    </row>
    <row r="51" ht="15" customHeight="1" s="23">
      <c r="A51" s="11" t="n"/>
      <c r="B51" s="12" t="n"/>
      <c r="C51" s="12" t="n"/>
      <c r="D51" s="13" t="n"/>
      <c r="E51" s="14" t="n"/>
      <c r="F51" s="12" t="n"/>
      <c r="G51" s="15">
        <f>IF($A51="","",IF($F51="won",$E51*$D51,IF($F51="void",$E51,0)))</f>
        <v/>
      </c>
      <c r="H51" s="15">
        <f>IF($A51="","",IF(OR($F51="open",$F51=""),0,$G51-$E51))</f>
        <v/>
      </c>
      <c r="I51" s="15">
        <f>IF($A51="","",$H$1+SUM($H$4:$H51)-SUMIFS($E$4:$E51,$F$4:$F51,"open"))</f>
        <v/>
      </c>
      <c r="J51" s="12" t="n"/>
    </row>
    <row r="52" ht="15" customHeight="1" s="23">
      <c r="A52" s="11" t="n"/>
      <c r="B52" s="12" t="n"/>
      <c r="C52" s="12" t="n"/>
      <c r="D52" s="13" t="n"/>
      <c r="E52" s="14" t="n"/>
      <c r="F52" s="12" t="n"/>
      <c r="G52" s="15">
        <f>IF($A52="","",IF($F52="won",$E52*$D52,IF($F52="void",$E52,0)))</f>
        <v/>
      </c>
      <c r="H52" s="15">
        <f>IF($A52="","",IF(OR($F52="open",$F52=""),0,$G52-$E52))</f>
        <v/>
      </c>
      <c r="I52" s="15">
        <f>IF($A52="","",$H$1+SUM($H$4:$H52)-SUMIFS($E$4:$E52,$F$4:$F52,"open"))</f>
        <v/>
      </c>
      <c r="J52" s="12" t="n"/>
    </row>
    <row r="53" ht="15" customHeight="1" s="23">
      <c r="A53" s="11" t="n"/>
      <c r="B53" s="12" t="n"/>
      <c r="C53" s="12" t="n"/>
      <c r="D53" s="13" t="n"/>
      <c r="E53" s="14" t="n"/>
      <c r="F53" s="12" t="n"/>
      <c r="G53" s="15">
        <f>IF($A53="","",IF($F53="won",$E53*$D53,IF($F53="void",$E53,0)))</f>
        <v/>
      </c>
      <c r="H53" s="15">
        <f>IF($A53="","",IF(OR($F53="open",$F53=""),0,$G53-$E53))</f>
        <v/>
      </c>
      <c r="I53" s="15">
        <f>IF($A53="","",$H$1+SUM($H$4:$H53)-SUMIFS($E$4:$E53,$F$4:$F53,"open"))</f>
        <v/>
      </c>
      <c r="J53" s="12" t="n"/>
    </row>
    <row r="54" ht="15" customHeight="1" s="23">
      <c r="A54" s="11" t="n"/>
      <c r="B54" s="12" t="n"/>
      <c r="C54" s="12" t="n"/>
      <c r="D54" s="13" t="n"/>
      <c r="E54" s="14" t="n"/>
      <c r="F54" s="12" t="n"/>
      <c r="G54" s="15">
        <f>IF($A54="","",IF($F54="won",$E54*$D54,IF($F54="void",$E54,0)))</f>
        <v/>
      </c>
      <c r="H54" s="15">
        <f>IF($A54="","",IF(OR($F54="open",$F54=""),0,$G54-$E54))</f>
        <v/>
      </c>
      <c r="I54" s="15">
        <f>IF($A54="","",$H$1+SUM($H$4:$H54)-SUMIFS($E$4:$E54,$F$4:$F54,"open"))</f>
        <v/>
      </c>
      <c r="J54" s="12" t="n"/>
    </row>
    <row r="55" ht="15" customHeight="1" s="23">
      <c r="A55" s="11" t="n"/>
      <c r="B55" s="12" t="n"/>
      <c r="C55" s="12" t="n"/>
      <c r="D55" s="13" t="n"/>
      <c r="E55" s="14" t="n"/>
      <c r="F55" s="12" t="n"/>
      <c r="G55" s="15">
        <f>IF($A55="","",IF($F55="won",$E55*$D55,IF($F55="void",$E55,0)))</f>
        <v/>
      </c>
      <c r="H55" s="15">
        <f>IF($A55="","",IF(OR($F55="open",$F55=""),0,$G55-$E55))</f>
        <v/>
      </c>
      <c r="I55" s="15">
        <f>IF($A55="","",$H$1+SUM($H$4:$H55)-SUMIFS($E$4:$E55,$F$4:$F55,"open"))</f>
        <v/>
      </c>
      <c r="J55" s="12" t="n"/>
    </row>
    <row r="56" ht="15" customHeight="1" s="23">
      <c r="A56" s="11" t="n"/>
      <c r="B56" s="12" t="n"/>
      <c r="C56" s="12" t="n"/>
      <c r="D56" s="13" t="n"/>
      <c r="E56" s="14" t="n"/>
      <c r="F56" s="12" t="n"/>
      <c r="G56" s="15">
        <f>IF($A56="","",IF($F56="won",$E56*$D56,IF($F56="void",$E56,0)))</f>
        <v/>
      </c>
      <c r="H56" s="15">
        <f>IF($A56="","",IF(OR($F56="open",$F56=""),0,$G56-$E56))</f>
        <v/>
      </c>
      <c r="I56" s="15">
        <f>IF($A56="","",$H$1+SUM($H$4:$H56)-SUMIFS($E$4:$E56,$F$4:$F56,"open"))</f>
        <v/>
      </c>
      <c r="J56" s="12" t="n"/>
    </row>
    <row r="57" ht="15" customHeight="1" s="23">
      <c r="A57" s="11" t="n"/>
      <c r="B57" s="12" t="n"/>
      <c r="C57" s="12" t="n"/>
      <c r="D57" s="13" t="n"/>
      <c r="E57" s="14" t="n"/>
      <c r="F57" s="12" t="n"/>
      <c r="G57" s="15">
        <f>IF($A57="","",IF($F57="won",$E57*$D57,IF($F57="void",$E57,0)))</f>
        <v/>
      </c>
      <c r="H57" s="15">
        <f>IF($A57="","",IF(OR($F57="open",$F57=""),0,$G57-$E57))</f>
        <v/>
      </c>
      <c r="I57" s="15">
        <f>IF($A57="","",$H$1+SUM($H$4:$H57)-SUMIFS($E$4:$E57,$F$4:$F57,"open"))</f>
        <v/>
      </c>
      <c r="J57" s="12" t="n"/>
    </row>
    <row r="58" ht="15" customHeight="1" s="23">
      <c r="A58" s="11" t="n"/>
      <c r="B58" s="12" t="n"/>
      <c r="C58" s="12" t="n"/>
      <c r="D58" s="13" t="n"/>
      <c r="E58" s="14" t="n"/>
      <c r="F58" s="12" t="n"/>
      <c r="G58" s="15">
        <f>IF($A58="","",IF($F58="won",$E58*$D58,IF($F58="void",$E58,0)))</f>
        <v/>
      </c>
      <c r="H58" s="15">
        <f>IF($A58="","",IF(OR($F58="open",$F58=""),0,$G58-$E58))</f>
        <v/>
      </c>
      <c r="I58" s="15">
        <f>IF($A58="","",$H$1+SUM($H$4:$H58)-SUMIFS($E$4:$E58,$F$4:$F58,"open"))</f>
        <v/>
      </c>
      <c r="J58" s="12" t="n"/>
    </row>
    <row r="59" ht="15" customHeight="1" s="23">
      <c r="A59" s="11" t="n"/>
      <c r="B59" s="12" t="n"/>
      <c r="C59" s="12" t="n"/>
      <c r="D59" s="13" t="n"/>
      <c r="E59" s="14" t="n"/>
      <c r="F59" s="12" t="n"/>
      <c r="G59" s="15">
        <f>IF($A59="","",IF($F59="won",$E59*$D59,IF($F59="void",$E59,0)))</f>
        <v/>
      </c>
      <c r="H59" s="15">
        <f>IF($A59="","",IF(OR($F59="open",$F59=""),0,$G59-$E59))</f>
        <v/>
      </c>
      <c r="I59" s="15">
        <f>IF($A59="","",$H$1+SUM($H$4:$H59)-SUMIFS($E$4:$E59,$F$4:$F59,"open"))</f>
        <v/>
      </c>
      <c r="J59" s="12" t="n"/>
    </row>
    <row r="60" ht="15" customHeight="1" s="23">
      <c r="A60" s="11" t="n"/>
      <c r="B60" s="12" t="n"/>
      <c r="C60" s="12" t="n"/>
      <c r="D60" s="13" t="n"/>
      <c r="E60" s="14" t="n"/>
      <c r="F60" s="12" t="n"/>
      <c r="G60" s="15">
        <f>IF($A60="","",IF($F60="won",$E60*$D60,IF($F60="void",$E60,0)))</f>
        <v/>
      </c>
      <c r="H60" s="15">
        <f>IF($A60="","",IF(OR($F60="open",$F60=""),0,$G60-$E60))</f>
        <v/>
      </c>
      <c r="I60" s="15">
        <f>IF($A60="","",$H$1+SUM($H$4:$H60)-SUMIFS($E$4:$E60,$F$4:$F60,"open"))</f>
        <v/>
      </c>
      <c r="J60" s="12" t="n"/>
    </row>
    <row r="61" ht="15" customHeight="1" s="23">
      <c r="A61" s="11" t="n"/>
      <c r="B61" s="12" t="n"/>
      <c r="C61" s="12" t="n"/>
      <c r="D61" s="13" t="n"/>
      <c r="E61" s="14" t="n"/>
      <c r="F61" s="12" t="n"/>
      <c r="G61" s="15">
        <f>IF($A61="","",IF($F61="won",$E61*$D61,IF($F61="void",$E61,0)))</f>
        <v/>
      </c>
      <c r="H61" s="15">
        <f>IF($A61="","",IF(OR($F61="open",$F61=""),0,$G61-$E61))</f>
        <v/>
      </c>
      <c r="I61" s="15">
        <f>IF($A61="","",$H$1+SUM($H$4:$H61)-SUMIFS($E$4:$E61,$F$4:$F61,"open"))</f>
        <v/>
      </c>
      <c r="J61" s="12" t="n"/>
    </row>
    <row r="62" ht="15" customHeight="1" s="23">
      <c r="A62" s="11" t="n"/>
      <c r="B62" s="12" t="n"/>
      <c r="C62" s="12" t="n"/>
      <c r="D62" s="13" t="n"/>
      <c r="E62" s="14" t="n"/>
      <c r="F62" s="12" t="n"/>
      <c r="G62" s="15">
        <f>IF($A62="","",IF($F62="won",$E62*$D62,IF($F62="void",$E62,0)))</f>
        <v/>
      </c>
      <c r="H62" s="15">
        <f>IF($A62="","",IF(OR($F62="open",$F62=""),0,$G62-$E62))</f>
        <v/>
      </c>
      <c r="I62" s="15">
        <f>IF($A62="","",$H$1+SUM($H$4:$H62)-SUMIFS($E$4:$E62,$F$4:$F62,"open"))</f>
        <v/>
      </c>
      <c r="J62" s="12" t="n"/>
    </row>
    <row r="63" ht="15" customHeight="1" s="23">
      <c r="A63" s="11" t="n"/>
      <c r="B63" s="12" t="n"/>
      <c r="C63" s="12" t="n"/>
      <c r="D63" s="13" t="n"/>
      <c r="E63" s="14" t="n"/>
      <c r="F63" s="12" t="n"/>
      <c r="G63" s="15">
        <f>IF($A63="","",IF($F63="won",$E63*$D63,IF($F63="void",$E63,0)))</f>
        <v/>
      </c>
      <c r="H63" s="15">
        <f>IF($A63="","",IF(OR($F63="open",$F63=""),0,$G63-$E63))</f>
        <v/>
      </c>
      <c r="I63" s="15">
        <f>IF($A63="","",$H$1+SUM($H$4:$H63)-SUMIFS($E$4:$E63,$F$4:$F63,"open"))</f>
        <v/>
      </c>
      <c r="J63" s="12" t="n"/>
    </row>
    <row r="64" ht="15" customHeight="1" s="23">
      <c r="A64" s="11" t="n"/>
      <c r="B64" s="12" t="n"/>
      <c r="C64" s="12" t="n"/>
      <c r="D64" s="13" t="n"/>
      <c r="E64" s="14" t="n"/>
      <c r="F64" s="12" t="n"/>
      <c r="G64" s="15">
        <f>IF($A64="","",IF($F64="won",$E64*$D64,IF($F64="void",$E64,0)))</f>
        <v/>
      </c>
      <c r="H64" s="15">
        <f>IF($A64="","",IF(OR($F64="open",$F64=""),0,$G64-$E64))</f>
        <v/>
      </c>
      <c r="I64" s="15">
        <f>IF($A64="","",$H$1+SUM($H$4:$H64)-SUMIFS($E$4:$E64,$F$4:$F64,"open"))</f>
        <v/>
      </c>
      <c r="J64" s="12" t="n"/>
    </row>
    <row r="65" ht="15" customHeight="1" s="23">
      <c r="A65" s="11" t="n"/>
      <c r="B65" s="12" t="n"/>
      <c r="C65" s="12" t="n"/>
      <c r="D65" s="13" t="n"/>
      <c r="E65" s="14" t="n"/>
      <c r="F65" s="12" t="n"/>
      <c r="G65" s="15">
        <f>IF($A65="","",IF($F65="won",$E65*$D65,IF($F65="void",$E65,0)))</f>
        <v/>
      </c>
      <c r="H65" s="15">
        <f>IF($A65="","",IF(OR($F65="open",$F65=""),0,$G65-$E65))</f>
        <v/>
      </c>
      <c r="I65" s="15">
        <f>IF($A65="","",$H$1+SUM($H$4:$H65)-SUMIFS($E$4:$E65,$F$4:$F65,"open"))</f>
        <v/>
      </c>
      <c r="J65" s="12" t="n"/>
    </row>
    <row r="66" ht="15" customHeight="1" s="23">
      <c r="A66" s="11" t="n"/>
      <c r="B66" s="12" t="n"/>
      <c r="C66" s="12" t="n"/>
      <c r="D66" s="13" t="n"/>
      <c r="E66" s="14" t="n"/>
      <c r="F66" s="12" t="n"/>
      <c r="G66" s="15">
        <f>IF($A66="","",IF($F66="won",$E66*$D66,IF($F66="void",$E66,0)))</f>
        <v/>
      </c>
      <c r="H66" s="15">
        <f>IF($A66="","",IF(OR($F66="open",$F66=""),0,$G66-$E66))</f>
        <v/>
      </c>
      <c r="I66" s="15">
        <f>IF($A66="","",$H$1+SUM($H$4:$H66)-SUMIFS($E$4:$E66,$F$4:$F66,"open"))</f>
        <v/>
      </c>
      <c r="J66" s="12" t="n"/>
    </row>
    <row r="67" ht="15" customHeight="1" s="23">
      <c r="A67" s="11" t="n"/>
      <c r="B67" s="12" t="n"/>
      <c r="C67" s="12" t="n"/>
      <c r="D67" s="13" t="n"/>
      <c r="E67" s="14" t="n"/>
      <c r="F67" s="12" t="n"/>
      <c r="G67" s="15">
        <f>IF($A67="","",IF($F67="won",$E67*$D67,IF($F67="void",$E67,0)))</f>
        <v/>
      </c>
      <c r="H67" s="15">
        <f>IF($A67="","",IF(OR($F67="open",$F67=""),0,$G67-$E67))</f>
        <v/>
      </c>
      <c r="I67" s="15">
        <f>IF($A67="","",$H$1+SUM($H$4:$H67)-SUMIFS($E$4:$E67,$F$4:$F67,"open"))</f>
        <v/>
      </c>
      <c r="J67" s="12" t="n"/>
    </row>
    <row r="68" ht="15" customHeight="1" s="23">
      <c r="A68" s="11" t="n"/>
      <c r="B68" s="12" t="n"/>
      <c r="C68" s="12" t="n"/>
      <c r="D68" s="13" t="n"/>
      <c r="E68" s="14" t="n"/>
      <c r="F68" s="12" t="n"/>
      <c r="G68" s="15">
        <f>IF($A68="","",IF($F68="won",$E68*$D68,IF($F68="void",$E68,0)))</f>
        <v/>
      </c>
      <c r="H68" s="15">
        <f>IF($A68="","",IF(OR($F68="open",$F68=""),0,$G68-$E68))</f>
        <v/>
      </c>
      <c r="I68" s="15">
        <f>IF($A68="","",$H$1+SUM($H$4:$H68)-SUMIFS($E$4:$E68,$F$4:$F68,"open"))</f>
        <v/>
      </c>
      <c r="J68" s="12" t="n"/>
    </row>
    <row r="69" ht="15" customHeight="1" s="23">
      <c r="A69" s="11" t="n"/>
      <c r="B69" s="12" t="n"/>
      <c r="C69" s="12" t="n"/>
      <c r="D69" s="13" t="n"/>
      <c r="E69" s="14" t="n"/>
      <c r="F69" s="12" t="n"/>
      <c r="G69" s="15">
        <f>IF($A69="","",IF($F69="won",$E69*$D69,IF($F69="void",$E69,0)))</f>
        <v/>
      </c>
      <c r="H69" s="15">
        <f>IF($A69="","",IF(OR($F69="open",$F69=""),0,$G69-$E69))</f>
        <v/>
      </c>
      <c r="I69" s="15">
        <f>IF($A69="","",$H$1+SUM($H$4:$H69)-SUMIFS($E$4:$E69,$F$4:$F69,"open"))</f>
        <v/>
      </c>
      <c r="J69" s="12" t="n"/>
    </row>
    <row r="70" ht="15" customHeight="1" s="23">
      <c r="A70" s="11" t="n"/>
      <c r="B70" s="12" t="n"/>
      <c r="C70" s="12" t="n"/>
      <c r="D70" s="13" t="n"/>
      <c r="E70" s="14" t="n"/>
      <c r="F70" s="12" t="n"/>
      <c r="G70" s="15">
        <f>IF($A70="","",IF($F70="won",$E70*$D70,IF($F70="void",$E70,0)))</f>
        <v/>
      </c>
      <c r="H70" s="15">
        <f>IF($A70="","",IF(OR($F70="open",$F70=""),0,$G70-$E70))</f>
        <v/>
      </c>
      <c r="I70" s="15">
        <f>IF($A70="","",$H$1+SUM($H$4:$H70)-SUMIFS($E$4:$E70,$F$4:$F70,"open"))</f>
        <v/>
      </c>
      <c r="J70" s="12" t="n"/>
    </row>
    <row r="71" ht="15" customHeight="1" s="23">
      <c r="A71" s="11" t="n"/>
      <c r="B71" s="12" t="n"/>
      <c r="C71" s="12" t="n"/>
      <c r="D71" s="13" t="n"/>
      <c r="E71" s="14" t="n"/>
      <c r="F71" s="12" t="n"/>
      <c r="G71" s="15">
        <f>IF($A71="","",IF($F71="won",$E71*$D71,IF($F71="void",$E71,0)))</f>
        <v/>
      </c>
      <c r="H71" s="15">
        <f>IF($A71="","",IF(OR($F71="open",$F71=""),0,$G71-$E71))</f>
        <v/>
      </c>
      <c r="I71" s="15">
        <f>IF($A71="","",$H$1+SUM($H$4:$H71)-SUMIFS($E$4:$E71,$F$4:$F71,"open"))</f>
        <v/>
      </c>
      <c r="J71" s="12" t="n"/>
    </row>
    <row r="72" ht="15" customHeight="1" s="23">
      <c r="A72" s="11" t="n"/>
      <c r="B72" s="12" t="n"/>
      <c r="C72" s="12" t="n"/>
      <c r="D72" s="13" t="n"/>
      <c r="E72" s="14" t="n"/>
      <c r="F72" s="12" t="n"/>
      <c r="G72" s="15">
        <f>IF($A72="","",IF($F72="won",$E72*$D72,IF($F72="void",$E72,0)))</f>
        <v/>
      </c>
      <c r="H72" s="15">
        <f>IF($A72="","",IF(OR($F72="open",$F72=""),0,$G72-$E72))</f>
        <v/>
      </c>
      <c r="I72" s="15">
        <f>IF($A72="","",$H$1+SUM($H$4:$H72)-SUMIFS($E$4:$E72,$F$4:$F72,"open"))</f>
        <v/>
      </c>
      <c r="J72" s="12" t="n"/>
    </row>
    <row r="73" ht="15" customHeight="1" s="23">
      <c r="A73" s="11" t="n"/>
      <c r="B73" s="12" t="n"/>
      <c r="C73" s="12" t="n"/>
      <c r="D73" s="13" t="n"/>
      <c r="E73" s="14" t="n"/>
      <c r="F73" s="12" t="n"/>
      <c r="G73" s="15">
        <f>IF($A73="","",IF($F73="won",$E73*$D73,IF($F73="void",$E73,0)))</f>
        <v/>
      </c>
      <c r="H73" s="15">
        <f>IF($A73="","",IF(OR($F73="open",$F73=""),0,$G73-$E73))</f>
        <v/>
      </c>
      <c r="I73" s="15">
        <f>IF($A73="","",$H$1+SUM($H$4:$H73)-SUMIFS($E$4:$E73,$F$4:$F73,"open"))</f>
        <v/>
      </c>
      <c r="J73" s="12" t="n"/>
    </row>
    <row r="74" ht="15" customHeight="1" s="23">
      <c r="A74" s="11" t="n"/>
      <c r="B74" s="12" t="n"/>
      <c r="C74" s="12" t="n"/>
      <c r="D74" s="13" t="n"/>
      <c r="E74" s="14" t="n"/>
      <c r="F74" s="12" t="n"/>
      <c r="G74" s="15">
        <f>IF($A74="","",IF($F74="won",$E74*$D74,IF($F74="void",$E74,0)))</f>
        <v/>
      </c>
      <c r="H74" s="15">
        <f>IF($A74="","",IF(OR($F74="open",$F74=""),0,$G74-$E74))</f>
        <v/>
      </c>
      <c r="I74" s="15">
        <f>IF($A74="","",$H$1+SUM($H$4:$H74)-SUMIFS($E$4:$E74,$F$4:$F74,"open"))</f>
        <v/>
      </c>
      <c r="J74" s="12" t="n"/>
    </row>
    <row r="75" ht="15" customHeight="1" s="23">
      <c r="A75" s="11" t="n"/>
      <c r="B75" s="12" t="n"/>
      <c r="C75" s="12" t="n"/>
      <c r="D75" s="13" t="n"/>
      <c r="E75" s="14" t="n"/>
      <c r="F75" s="12" t="n"/>
      <c r="G75" s="15">
        <f>IF($A75="","",IF($F75="won",$E75*$D75,IF($F75="void",$E75,0)))</f>
        <v/>
      </c>
      <c r="H75" s="15">
        <f>IF($A75="","",IF(OR($F75="open",$F75=""),0,$G75-$E75))</f>
        <v/>
      </c>
      <c r="I75" s="15">
        <f>IF($A75="","",$H$1+SUM($H$4:$H75)-SUMIFS($E$4:$E75,$F$4:$F75,"open"))</f>
        <v/>
      </c>
      <c r="J75" s="12" t="n"/>
    </row>
    <row r="76" ht="15" customHeight="1" s="23">
      <c r="A76" s="11" t="n"/>
      <c r="B76" s="12" t="n"/>
      <c r="C76" s="12" t="n"/>
      <c r="D76" s="13" t="n"/>
      <c r="E76" s="14" t="n"/>
      <c r="F76" s="12" t="n"/>
      <c r="G76" s="15">
        <f>IF($A76="","",IF($F76="won",$E76*$D76,IF($F76="void",$E76,0)))</f>
        <v/>
      </c>
      <c r="H76" s="15">
        <f>IF($A76="","",IF(OR($F76="open",$F76=""),0,$G76-$E76))</f>
        <v/>
      </c>
      <c r="I76" s="15">
        <f>IF($A76="","",$H$1+SUM($H$4:$H76)-SUMIFS($E$4:$E76,$F$4:$F76,"open"))</f>
        <v/>
      </c>
      <c r="J76" s="12" t="n"/>
    </row>
    <row r="77" ht="15" customHeight="1" s="23">
      <c r="A77" s="11" t="n"/>
      <c r="B77" s="12" t="n"/>
      <c r="C77" s="12" t="n"/>
      <c r="D77" s="13" t="n"/>
      <c r="E77" s="14" t="n"/>
      <c r="F77" s="12" t="n"/>
      <c r="G77" s="15">
        <f>IF($A77="","",IF($F77="won",$E77*$D77,IF($F77="void",$E77,0)))</f>
        <v/>
      </c>
      <c r="H77" s="15">
        <f>IF($A77="","",IF(OR($F77="open",$F77=""),0,$G77-$E77))</f>
        <v/>
      </c>
      <c r="I77" s="15">
        <f>IF($A77="","",$H$1+SUM($H$4:$H77)-SUMIFS($E$4:$E77,$F$4:$F77,"open"))</f>
        <v/>
      </c>
      <c r="J77" s="12" t="n"/>
    </row>
    <row r="78" ht="15" customHeight="1" s="23">
      <c r="A78" s="11" t="n"/>
      <c r="B78" s="12" t="n"/>
      <c r="C78" s="12" t="n"/>
      <c r="D78" s="13" t="n"/>
      <c r="E78" s="14" t="n"/>
      <c r="F78" s="12" t="n"/>
      <c r="G78" s="15">
        <f>IF($A78="","",IF($F78="won",$E78*$D78,IF($F78="void",$E78,0)))</f>
        <v/>
      </c>
      <c r="H78" s="15">
        <f>IF($A78="","",IF(OR($F78="open",$F78=""),0,$G78-$E78))</f>
        <v/>
      </c>
      <c r="I78" s="15">
        <f>IF($A78="","",$H$1+SUM($H$4:$H78)-SUMIFS($E$4:$E78,$F$4:$F78,"open"))</f>
        <v/>
      </c>
      <c r="J78" s="12" t="n"/>
    </row>
    <row r="79" ht="15" customHeight="1" s="23">
      <c r="A79" s="11" t="n"/>
      <c r="B79" s="12" t="n"/>
      <c r="C79" s="12" t="n"/>
      <c r="D79" s="13" t="n"/>
      <c r="E79" s="14" t="n"/>
      <c r="F79" s="12" t="n"/>
      <c r="G79" s="15">
        <f>IF($A79="","",IF($F79="won",$E79*$D79,IF($F79="void",$E79,0)))</f>
        <v/>
      </c>
      <c r="H79" s="15">
        <f>IF($A79="","",IF(OR($F79="open",$F79=""),0,$G79-$E79))</f>
        <v/>
      </c>
      <c r="I79" s="15">
        <f>IF($A79="","",$H$1+SUM($H$4:$H79)-SUMIFS($E$4:$E79,$F$4:$F79,"open"))</f>
        <v/>
      </c>
      <c r="J79" s="12" t="n"/>
    </row>
    <row r="80" ht="15" customHeight="1" s="23">
      <c r="A80" s="11" t="n"/>
      <c r="B80" s="12" t="n"/>
      <c r="C80" s="12" t="n"/>
      <c r="D80" s="13" t="n"/>
      <c r="E80" s="14" t="n"/>
      <c r="F80" s="12" t="n"/>
      <c r="G80" s="15">
        <f>IF($A80="","",IF($F80="won",$E80*$D80,IF($F80="void",$E80,0)))</f>
        <v/>
      </c>
      <c r="H80" s="15">
        <f>IF($A80="","",IF(OR($F80="open",$F80=""),0,$G80-$E80))</f>
        <v/>
      </c>
      <c r="I80" s="15">
        <f>IF($A80="","",$H$1+SUM($H$4:$H80)-SUMIFS($E$4:$E80,$F$4:$F80,"open"))</f>
        <v/>
      </c>
      <c r="J80" s="12" t="n"/>
    </row>
    <row r="81" ht="15" customHeight="1" s="23">
      <c r="A81" s="11" t="n"/>
      <c r="B81" s="12" t="n"/>
      <c r="C81" s="12" t="n"/>
      <c r="D81" s="13" t="n"/>
      <c r="E81" s="14" t="n"/>
      <c r="F81" s="12" t="n"/>
      <c r="G81" s="15">
        <f>IF($A81="","",IF($F81="won",$E81*$D81,IF($F81="void",$E81,0)))</f>
        <v/>
      </c>
      <c r="H81" s="15">
        <f>IF($A81="","",IF(OR($F81="open",$F81=""),0,$G81-$E81))</f>
        <v/>
      </c>
      <c r="I81" s="15">
        <f>IF($A81="","",$H$1+SUM($H$4:$H81)-SUMIFS($E$4:$E81,$F$4:$F81,"open"))</f>
        <v/>
      </c>
      <c r="J81" s="12" t="n"/>
    </row>
    <row r="82" ht="15" customHeight="1" s="23">
      <c r="A82" s="11" t="n"/>
      <c r="B82" s="12" t="n"/>
      <c r="C82" s="12" t="n"/>
      <c r="D82" s="13" t="n"/>
      <c r="E82" s="14" t="n"/>
      <c r="F82" s="12" t="n"/>
      <c r="G82" s="15">
        <f>IF($A82="","",IF($F82="won",$E82*$D82,IF($F82="void",$E82,0)))</f>
        <v/>
      </c>
      <c r="H82" s="15">
        <f>IF($A82="","",IF(OR($F82="open",$F82=""),0,$G82-$E82))</f>
        <v/>
      </c>
      <c r="I82" s="15">
        <f>IF($A82="","",$H$1+SUM($H$4:$H82)-SUMIFS($E$4:$E82,$F$4:$F82,"open"))</f>
        <v/>
      </c>
      <c r="J82" s="12" t="n"/>
    </row>
    <row r="83" ht="15" customHeight="1" s="23">
      <c r="A83" s="11" t="n"/>
      <c r="B83" s="12" t="n"/>
      <c r="C83" s="12" t="n"/>
      <c r="D83" s="13" t="n"/>
      <c r="E83" s="14" t="n"/>
      <c r="F83" s="12" t="n"/>
      <c r="G83" s="15">
        <f>IF($A83="","",IF($F83="won",$E83*$D83,IF($F83="void",$E83,0)))</f>
        <v/>
      </c>
      <c r="H83" s="15">
        <f>IF($A83="","",IF(OR($F83="open",$F83=""),0,$G83-$E83))</f>
        <v/>
      </c>
      <c r="I83" s="15">
        <f>IF($A83="","",$H$1+SUM($H$4:$H83)-SUMIFS($E$4:$E83,$F$4:$F83,"open"))</f>
        <v/>
      </c>
      <c r="J83" s="12" t="n"/>
    </row>
    <row r="84" ht="15" customHeight="1" s="23">
      <c r="A84" s="11" t="n"/>
      <c r="B84" s="12" t="n"/>
      <c r="C84" s="12" t="n"/>
      <c r="D84" s="13" t="n"/>
      <c r="E84" s="14" t="n"/>
      <c r="F84" s="12" t="n"/>
      <c r="G84" s="15">
        <f>IF($A84="","",IF($F84="won",$E84*$D84,IF($F84="void",$E84,0)))</f>
        <v/>
      </c>
      <c r="H84" s="15">
        <f>IF($A84="","",IF(OR($F84="open",$F84=""),0,$G84-$E84))</f>
        <v/>
      </c>
      <c r="I84" s="15">
        <f>IF($A84="","",$H$1+SUM($H$4:$H84)-SUMIFS($E$4:$E84,$F$4:$F84,"open"))</f>
        <v/>
      </c>
      <c r="J84" s="12" t="n"/>
    </row>
    <row r="85" ht="15" customHeight="1" s="23">
      <c r="A85" s="11" t="n"/>
      <c r="B85" s="12" t="n"/>
      <c r="C85" s="12" t="n"/>
      <c r="D85" s="13" t="n"/>
      <c r="E85" s="14" t="n"/>
      <c r="F85" s="12" t="n"/>
      <c r="G85" s="15">
        <f>IF($A85="","",IF($F85="won",$E85*$D85,IF($F85="void",$E85,0)))</f>
        <v/>
      </c>
      <c r="H85" s="15">
        <f>IF($A85="","",IF(OR($F85="open",$F85=""),0,$G85-$E85))</f>
        <v/>
      </c>
      <c r="I85" s="15">
        <f>IF($A85="","",$H$1+SUM($H$4:$H85)-SUMIFS($E$4:$E85,$F$4:$F85,"open"))</f>
        <v/>
      </c>
      <c r="J85" s="12" t="n"/>
    </row>
    <row r="86" ht="15" customHeight="1" s="23">
      <c r="A86" s="11" t="n"/>
      <c r="B86" s="12" t="n"/>
      <c r="C86" s="12" t="n"/>
      <c r="D86" s="13" t="n"/>
      <c r="E86" s="14" t="n"/>
      <c r="F86" s="12" t="n"/>
      <c r="G86" s="15">
        <f>IF($A86="","",IF($F86="won",$E86*$D86,IF($F86="void",$E86,0)))</f>
        <v/>
      </c>
      <c r="H86" s="15">
        <f>IF($A86="","",IF(OR($F86="open",$F86=""),0,$G86-$E86))</f>
        <v/>
      </c>
      <c r="I86" s="15">
        <f>IF($A86="","",$H$1+SUM($H$4:$H86)-SUMIFS($E$4:$E86,$F$4:$F86,"open"))</f>
        <v/>
      </c>
      <c r="J86" s="12" t="n"/>
    </row>
    <row r="87" ht="15" customHeight="1" s="23">
      <c r="A87" s="11" t="n"/>
      <c r="B87" s="12" t="n"/>
      <c r="C87" s="12" t="n"/>
      <c r="D87" s="13" t="n"/>
      <c r="E87" s="14" t="n"/>
      <c r="F87" s="12" t="n"/>
      <c r="G87" s="15">
        <f>IF($A87="","",IF($F87="won",$E87*$D87,IF($F87="void",$E87,0)))</f>
        <v/>
      </c>
      <c r="H87" s="15">
        <f>IF($A87="","",IF(OR($F87="open",$F87=""),0,$G87-$E87))</f>
        <v/>
      </c>
      <c r="I87" s="15">
        <f>IF($A87="","",$H$1+SUM($H$4:$H87)-SUMIFS($E$4:$E87,$F$4:$F87,"open"))</f>
        <v/>
      </c>
      <c r="J87" s="12" t="n"/>
    </row>
    <row r="88" ht="15" customHeight="1" s="23">
      <c r="A88" s="11" t="n"/>
      <c r="B88" s="12" t="n"/>
      <c r="C88" s="12" t="n"/>
      <c r="D88" s="13" t="n"/>
      <c r="E88" s="14" t="n"/>
      <c r="F88" s="12" t="n"/>
      <c r="G88" s="15">
        <f>IF($A88="","",IF($F88="won",$E88*$D88,IF($F88="void",$E88,0)))</f>
        <v/>
      </c>
      <c r="H88" s="15">
        <f>IF($A88="","",IF(OR($F88="open",$F88=""),0,$G88-$E88))</f>
        <v/>
      </c>
      <c r="I88" s="15">
        <f>IF($A88="","",$H$1+SUM($H$4:$H88)-SUMIFS($E$4:$E88,$F$4:$F88,"open"))</f>
        <v/>
      </c>
      <c r="J88" s="12" t="n"/>
    </row>
    <row r="89" ht="15" customHeight="1" s="23">
      <c r="A89" s="11" t="n"/>
      <c r="B89" s="12" t="n"/>
      <c r="C89" s="12" t="n"/>
      <c r="D89" s="13" t="n"/>
      <c r="E89" s="14" t="n"/>
      <c r="F89" s="12" t="n"/>
      <c r="G89" s="15">
        <f>IF($A89="","",IF($F89="won",$E89*$D89,IF($F89="void",$E89,0)))</f>
        <v/>
      </c>
      <c r="H89" s="15">
        <f>IF($A89="","",IF(OR($F89="open",$F89=""),0,$G89-$E89))</f>
        <v/>
      </c>
      <c r="I89" s="15">
        <f>IF($A89="","",$H$1+SUM($H$4:$H89)-SUMIFS($E$4:$E89,$F$4:$F89,"open"))</f>
        <v/>
      </c>
      <c r="J89" s="12" t="n"/>
    </row>
    <row r="90" ht="15" customHeight="1" s="23">
      <c r="A90" s="11" t="n"/>
      <c r="B90" s="12" t="n"/>
      <c r="C90" s="12" t="n"/>
      <c r="D90" s="13" t="n"/>
      <c r="E90" s="14" t="n"/>
      <c r="F90" s="12" t="n"/>
      <c r="G90" s="15">
        <f>IF($A90="","",IF($F90="won",$E90*$D90,IF($F90="void",$E90,0)))</f>
        <v/>
      </c>
      <c r="H90" s="15">
        <f>IF($A90="","",IF(OR($F90="open",$F90=""),0,$G90-$E90))</f>
        <v/>
      </c>
      <c r="I90" s="15">
        <f>IF($A90="","",$H$1+SUM($H$4:$H90)-SUMIFS($E$4:$E90,$F$4:$F90,"open"))</f>
        <v/>
      </c>
      <c r="J90" s="12" t="n"/>
    </row>
    <row r="91" ht="15" customHeight="1" s="23">
      <c r="A91" s="11" t="n"/>
      <c r="B91" s="12" t="n"/>
      <c r="C91" s="12" t="n"/>
      <c r="D91" s="13" t="n"/>
      <c r="E91" s="14" t="n"/>
      <c r="F91" s="12" t="n"/>
      <c r="G91" s="15">
        <f>IF($A91="","",IF($F91="won",$E91*$D91,IF($F91="void",$E91,0)))</f>
        <v/>
      </c>
      <c r="H91" s="15">
        <f>IF($A91="","",IF(OR($F91="open",$F91=""),0,$G91-$E91))</f>
        <v/>
      </c>
      <c r="I91" s="15">
        <f>IF($A91="","",$H$1+SUM($H$4:$H91)-SUMIFS($E$4:$E91,$F$4:$F91,"open"))</f>
        <v/>
      </c>
      <c r="J91" s="12" t="n"/>
    </row>
    <row r="92" ht="15" customHeight="1" s="23">
      <c r="A92" s="11" t="n"/>
      <c r="B92" s="12" t="n"/>
      <c r="C92" s="12" t="n"/>
      <c r="D92" s="13" t="n"/>
      <c r="E92" s="14" t="n"/>
      <c r="F92" s="12" t="n"/>
      <c r="G92" s="15">
        <f>IF($A92="","",IF($F92="won",$E92*$D92,IF($F92="void",$E92,0)))</f>
        <v/>
      </c>
      <c r="H92" s="15">
        <f>IF($A92="","",IF(OR($F92="open",$F92=""),0,$G92-$E92))</f>
        <v/>
      </c>
      <c r="I92" s="15">
        <f>IF($A92="","",$H$1+SUM($H$4:$H92)-SUMIFS($E$4:$E92,$F$4:$F92,"open"))</f>
        <v/>
      </c>
      <c r="J92" s="12" t="n"/>
    </row>
    <row r="93" ht="15" customHeight="1" s="23">
      <c r="A93" s="11" t="n"/>
      <c r="B93" s="12" t="n"/>
      <c r="C93" s="12" t="n"/>
      <c r="D93" s="13" t="n"/>
      <c r="E93" s="14" t="n"/>
      <c r="F93" s="12" t="n"/>
      <c r="G93" s="15">
        <f>IF($A93="","",IF($F93="won",$E93*$D93,IF($F93="void",$E93,0)))</f>
        <v/>
      </c>
      <c r="H93" s="15">
        <f>IF($A93="","",IF(OR($F93="open",$F93=""),0,$G93-$E93))</f>
        <v/>
      </c>
      <c r="I93" s="15">
        <f>IF($A93="","",$H$1+SUM($H$4:$H93)-SUMIFS($E$4:$E93,$F$4:$F93,"open"))</f>
        <v/>
      </c>
      <c r="J93" s="12" t="n"/>
    </row>
    <row r="94" ht="15" customHeight="1" s="23">
      <c r="A94" s="11" t="n"/>
      <c r="B94" s="12" t="n"/>
      <c r="C94" s="12" t="n"/>
      <c r="D94" s="13" t="n"/>
      <c r="E94" s="14" t="n"/>
      <c r="F94" s="12" t="n"/>
      <c r="G94" s="15">
        <f>IF($A94="","",IF($F94="won",$E94*$D94,IF($F94="void",$E94,0)))</f>
        <v/>
      </c>
      <c r="H94" s="15">
        <f>IF($A94="","",IF(OR($F94="open",$F94=""),0,$G94-$E94))</f>
        <v/>
      </c>
      <c r="I94" s="15">
        <f>IF($A94="","",$H$1+SUM($H$4:$H94)-SUMIFS($E$4:$E94,$F$4:$F94,"open"))</f>
        <v/>
      </c>
      <c r="J94" s="12" t="n"/>
    </row>
    <row r="95" ht="15" customHeight="1" s="23">
      <c r="A95" s="11" t="n"/>
      <c r="B95" s="12" t="n"/>
      <c r="C95" s="12" t="n"/>
      <c r="D95" s="13" t="n"/>
      <c r="E95" s="14" t="n"/>
      <c r="F95" s="12" t="n"/>
      <c r="G95" s="15">
        <f>IF($A95="","",IF($F95="won",$E95*$D95,IF($F95="void",$E95,0)))</f>
        <v/>
      </c>
      <c r="H95" s="15">
        <f>IF($A95="","",IF(OR($F95="open",$F95=""),0,$G95-$E95))</f>
        <v/>
      </c>
      <c r="I95" s="15">
        <f>IF($A95="","",$H$1+SUM($H$4:$H95)-SUMIFS($E$4:$E95,$F$4:$F95,"open"))</f>
        <v/>
      </c>
      <c r="J95" s="12" t="n"/>
    </row>
    <row r="96" ht="15" customHeight="1" s="23">
      <c r="A96" s="11" t="n"/>
      <c r="B96" s="12" t="n"/>
      <c r="C96" s="12" t="n"/>
      <c r="D96" s="13" t="n"/>
      <c r="E96" s="14" t="n"/>
      <c r="F96" s="12" t="n"/>
      <c r="G96" s="15">
        <f>IF($A96="","",IF($F96="won",$E96*$D96,IF($F96="void",$E96,0)))</f>
        <v/>
      </c>
      <c r="H96" s="15">
        <f>IF($A96="","",IF(OR($F96="open",$F96=""),0,$G96-$E96))</f>
        <v/>
      </c>
      <c r="I96" s="15">
        <f>IF($A96="","",$H$1+SUM($H$4:$H96)-SUMIFS($E$4:$E96,$F$4:$F96,"open"))</f>
        <v/>
      </c>
      <c r="J96" s="12" t="n"/>
    </row>
    <row r="97" ht="15" customHeight="1" s="23">
      <c r="A97" s="11" t="n"/>
      <c r="B97" s="12" t="n"/>
      <c r="C97" s="12" t="n"/>
      <c r="D97" s="13" t="n"/>
      <c r="E97" s="14" t="n"/>
      <c r="F97" s="12" t="n"/>
      <c r="G97" s="15">
        <f>IF($A97="","",IF($F97="won",$E97*$D97,IF($F97="void",$E97,0)))</f>
        <v/>
      </c>
      <c r="H97" s="15">
        <f>IF($A97="","",IF(OR($F97="open",$F97=""),0,$G97-$E97))</f>
        <v/>
      </c>
      <c r="I97" s="15">
        <f>IF($A97="","",$H$1+SUM($H$4:$H97)-SUMIFS($E$4:$E97,$F$4:$F97,"open"))</f>
        <v/>
      </c>
      <c r="J97" s="12" t="n"/>
    </row>
    <row r="98" ht="15" customHeight="1" s="23">
      <c r="A98" s="11" t="n"/>
      <c r="B98" s="12" t="n"/>
      <c r="C98" s="12" t="n"/>
      <c r="D98" s="13" t="n"/>
      <c r="E98" s="14" t="n"/>
      <c r="F98" s="12" t="n"/>
      <c r="G98" s="15">
        <f>IF($A98="","",IF($F98="won",$E98*$D98,IF($F98="void",$E98,0)))</f>
        <v/>
      </c>
      <c r="H98" s="15">
        <f>IF($A98="","",IF(OR($F98="open",$F98=""),0,$G98-$E98))</f>
        <v/>
      </c>
      <c r="I98" s="15">
        <f>IF($A98="","",$H$1+SUM($H$4:$H98)-SUMIFS($E$4:$E98,$F$4:$F98,"open"))</f>
        <v/>
      </c>
      <c r="J98" s="12" t="n"/>
    </row>
    <row r="99" ht="15" customHeight="1" s="23">
      <c r="A99" s="11" t="n"/>
      <c r="B99" s="12" t="n"/>
      <c r="C99" s="12" t="n"/>
      <c r="D99" s="13" t="n"/>
      <c r="E99" s="14" t="n"/>
      <c r="F99" s="12" t="n"/>
      <c r="G99" s="15">
        <f>IF($A99="","",IF($F99="won",$E99*$D99,IF($F99="void",$E99,0)))</f>
        <v/>
      </c>
      <c r="H99" s="15">
        <f>IF($A99="","",IF(OR($F99="open",$F99=""),0,$G99-$E99))</f>
        <v/>
      </c>
      <c r="I99" s="15">
        <f>IF($A99="","",$H$1+SUM($H$4:$H99)-SUMIFS($E$4:$E99,$F$4:$F99,"open"))</f>
        <v/>
      </c>
      <c r="J99" s="12" t="n"/>
    </row>
    <row r="100" ht="15" customHeight="1" s="23">
      <c r="A100" s="11" t="n"/>
      <c r="B100" s="12" t="n"/>
      <c r="C100" s="12" t="n"/>
      <c r="D100" s="13" t="n"/>
      <c r="E100" s="14" t="n"/>
      <c r="F100" s="12" t="n"/>
      <c r="G100" s="15">
        <f>IF($A100="","",IF($F100="won",$E100*$D100,IF($F100="void",$E100,0)))</f>
        <v/>
      </c>
      <c r="H100" s="15">
        <f>IF($A100="","",IF(OR($F100="open",$F100=""),0,$G100-$E100))</f>
        <v/>
      </c>
      <c r="I100" s="15">
        <f>IF($A100="","",$H$1+SUM($H$4:$H100)-SUMIFS($E$4:$E100,$F$4:$F100,"open"))</f>
        <v/>
      </c>
      <c r="J100" s="12" t="n"/>
    </row>
    <row r="101" ht="15" customHeight="1" s="23">
      <c r="A101" s="11" t="n"/>
      <c r="B101" s="12" t="n"/>
      <c r="C101" s="12" t="n"/>
      <c r="D101" s="13" t="n"/>
      <c r="E101" s="14" t="n"/>
      <c r="F101" s="12" t="n"/>
      <c r="G101" s="15">
        <f>IF($A101="","",IF($F101="won",$E101*$D101,IF($F101="void",$E101,0)))</f>
        <v/>
      </c>
      <c r="H101" s="15">
        <f>IF($A101="","",IF(OR($F101="open",$F101=""),0,$G101-$E101))</f>
        <v/>
      </c>
      <c r="I101" s="15">
        <f>IF($A101="","",$H$1+SUM($H$4:$H101)-SUMIFS($E$4:$E101,$F$4:$F101,"open"))</f>
        <v/>
      </c>
      <c r="J101" s="12" t="n"/>
    </row>
    <row r="102" ht="15" customHeight="1" s="23">
      <c r="A102" s="11" t="n"/>
      <c r="B102" s="12" t="n"/>
      <c r="C102" s="12" t="n"/>
      <c r="D102" s="13" t="n"/>
      <c r="E102" s="14" t="n"/>
      <c r="F102" s="12" t="n"/>
      <c r="G102" s="15">
        <f>IF($A102="","",IF($F102="won",$E102*$D102,IF($F102="void",$E102,0)))</f>
        <v/>
      </c>
      <c r="H102" s="15">
        <f>IF($A102="","",IF(OR($F102="open",$F102=""),0,$G102-$E102))</f>
        <v/>
      </c>
      <c r="I102" s="15">
        <f>IF($A102="","",$H$1+SUM($H$4:$H102)-SUMIFS($E$4:$E102,$F$4:$F102,"open"))</f>
        <v/>
      </c>
      <c r="J102" s="12" t="n"/>
    </row>
    <row r="103" ht="15" customHeight="1" s="23">
      <c r="A103" s="11" t="n"/>
      <c r="B103" s="12" t="n"/>
      <c r="C103" s="12" t="n"/>
      <c r="D103" s="13" t="n"/>
      <c r="E103" s="14" t="n"/>
      <c r="F103" s="12" t="n"/>
      <c r="G103" s="15">
        <f>IF($A103="","",IF($F103="won",$E103*$D103,IF($F103="void",$E103,0)))</f>
        <v/>
      </c>
      <c r="H103" s="15">
        <f>IF($A103="","",IF(OR($F103="open",$F103=""),0,$G103-$E103))</f>
        <v/>
      </c>
      <c r="I103" s="15">
        <f>IF($A103="","",$H$1+SUM($H$4:$H103)-SUMIFS($E$4:$E103,$F$4:$F103,"open"))</f>
        <v/>
      </c>
      <c r="J103" s="12" t="n"/>
    </row>
    <row r="104" ht="15" customHeight="1" s="23">
      <c r="A104" s="11" t="n"/>
      <c r="B104" s="12" t="n"/>
      <c r="C104" s="12" t="n"/>
      <c r="D104" s="13" t="n"/>
      <c r="E104" s="14" t="n"/>
      <c r="F104" s="12" t="n"/>
      <c r="G104" s="15">
        <f>IF($A104="","",IF($F104="won",$E104*$D104,IF($F104="void",$E104,0)))</f>
        <v/>
      </c>
      <c r="H104" s="15">
        <f>IF($A104="","",IF(OR($F104="open",$F104=""),0,$G104-$E104))</f>
        <v/>
      </c>
      <c r="I104" s="15">
        <f>IF($A104="","",$H$1+SUM($H$4:$H104)-SUMIFS($E$4:$E104,$F$4:$F104,"open"))</f>
        <v/>
      </c>
      <c r="J104" s="12" t="n"/>
    </row>
    <row r="105" ht="15" customHeight="1" s="23">
      <c r="A105" s="11" t="n"/>
      <c r="B105" s="12" t="n"/>
      <c r="C105" s="12" t="n"/>
      <c r="D105" s="13" t="n"/>
      <c r="E105" s="14" t="n"/>
      <c r="F105" s="12" t="n"/>
      <c r="G105" s="15">
        <f>IF($A105="","",IF($F105="won",$E105*$D105,IF($F105="void",$E105,0)))</f>
        <v/>
      </c>
      <c r="H105" s="15">
        <f>IF($A105="","",IF(OR($F105="open",$F105=""),0,$G105-$E105))</f>
        <v/>
      </c>
      <c r="I105" s="15">
        <f>IF($A105="","",$H$1+SUM($H$4:$H105)-SUMIFS($E$4:$E105,$F$4:$F105,"open"))</f>
        <v/>
      </c>
      <c r="J105" s="12" t="n"/>
    </row>
    <row r="106" ht="15" customHeight="1" s="23">
      <c r="A106" s="11" t="n"/>
      <c r="B106" s="12" t="n"/>
      <c r="C106" s="12" t="n"/>
      <c r="D106" s="13" t="n"/>
      <c r="E106" s="14" t="n"/>
      <c r="F106" s="12" t="n"/>
      <c r="G106" s="15">
        <f>IF($A106="","",IF($F106="won",$E106*$D106,IF($F106="void",$E106,0)))</f>
        <v/>
      </c>
      <c r="H106" s="15">
        <f>IF($A106="","",IF(OR($F106="open",$F106=""),0,$G106-$E106))</f>
        <v/>
      </c>
      <c r="I106" s="15">
        <f>IF($A106="","",$H$1+SUM($H$4:$H106)-SUMIFS($E$4:$E106,$F$4:$F106,"open"))</f>
        <v/>
      </c>
      <c r="J106" s="12" t="n"/>
    </row>
    <row r="107" ht="15" customHeight="1" s="23">
      <c r="A107" s="11" t="n"/>
      <c r="B107" s="12" t="n"/>
      <c r="C107" s="12" t="n"/>
      <c r="D107" s="13" t="n"/>
      <c r="E107" s="14" t="n"/>
      <c r="F107" s="12" t="n"/>
      <c r="G107" s="15">
        <f>IF($A107="","",IF($F107="won",$E107*$D107,IF($F107="void",$E107,0)))</f>
        <v/>
      </c>
      <c r="H107" s="15">
        <f>IF($A107="","",IF(OR($F107="open",$F107=""),0,$G107-$E107))</f>
        <v/>
      </c>
      <c r="I107" s="15">
        <f>IF($A107="","",$H$1+SUM($H$4:$H107)-SUMIFS($E$4:$E107,$F$4:$F107,"open"))</f>
        <v/>
      </c>
      <c r="J107" s="12" t="n"/>
    </row>
    <row r="108" ht="15" customHeight="1" s="23">
      <c r="A108" s="11" t="n"/>
      <c r="B108" s="12" t="n"/>
      <c r="C108" s="12" t="n"/>
      <c r="D108" s="13" t="n"/>
      <c r="E108" s="14" t="n"/>
      <c r="F108" s="12" t="n"/>
      <c r="G108" s="15">
        <f>IF($A108="","",IF($F108="won",$E108*$D108,IF($F108="void",$E108,0)))</f>
        <v/>
      </c>
      <c r="H108" s="15">
        <f>IF($A108="","",IF(OR($F108="open",$F108=""),0,$G108-$E108))</f>
        <v/>
      </c>
      <c r="I108" s="15">
        <f>IF($A108="","",$H$1+SUM($H$4:$H108)-SUMIFS($E$4:$E108,$F$4:$F108,"open"))</f>
        <v/>
      </c>
      <c r="J108" s="12" t="n"/>
    </row>
    <row r="109" ht="15" customHeight="1" s="23">
      <c r="A109" s="11" t="n"/>
      <c r="B109" s="12" t="n"/>
      <c r="C109" s="12" t="n"/>
      <c r="D109" s="13" t="n"/>
      <c r="E109" s="14" t="n"/>
      <c r="F109" s="12" t="n"/>
      <c r="G109" s="15">
        <f>IF($A109="","",IF($F109="won",$E109*$D109,IF($F109="void",$E109,0)))</f>
        <v/>
      </c>
      <c r="H109" s="15">
        <f>IF($A109="","",IF(OR($F109="open",$F109=""),0,$G109-$E109))</f>
        <v/>
      </c>
      <c r="I109" s="15">
        <f>IF($A109="","",$H$1+SUM($H$4:$H109)-SUMIFS($E$4:$E109,$F$4:$F109,"open"))</f>
        <v/>
      </c>
      <c r="J109" s="12" t="n"/>
    </row>
    <row r="110" ht="15" customHeight="1" s="23">
      <c r="A110" s="11" t="n"/>
      <c r="B110" s="12" t="n"/>
      <c r="C110" s="12" t="n"/>
      <c r="D110" s="13" t="n"/>
      <c r="E110" s="14" t="n"/>
      <c r="F110" s="12" t="n"/>
      <c r="G110" s="15">
        <f>IF($A110="","",IF($F110="won",$E110*$D110,IF($F110="void",$E110,0)))</f>
        <v/>
      </c>
      <c r="H110" s="15">
        <f>IF($A110="","",IF(OR($F110="open",$F110=""),0,$G110-$E110))</f>
        <v/>
      </c>
      <c r="I110" s="15">
        <f>IF($A110="","",$H$1+SUM($H$4:$H110)-SUMIFS($E$4:$E110,$F$4:$F110,"open"))</f>
        <v/>
      </c>
      <c r="J110" s="12" t="n"/>
    </row>
    <row r="111" ht="15" customHeight="1" s="23">
      <c r="A111" s="11" t="n"/>
      <c r="B111" s="12" t="n"/>
      <c r="C111" s="12" t="n"/>
      <c r="D111" s="13" t="n"/>
      <c r="E111" s="14" t="n"/>
      <c r="F111" s="12" t="n"/>
      <c r="G111" s="15">
        <f>IF($A111="","",IF($F111="won",$E111*$D111,IF($F111="void",$E111,0)))</f>
        <v/>
      </c>
      <c r="H111" s="15">
        <f>IF($A111="","",IF(OR($F111="open",$F111=""),0,$G111-$E111))</f>
        <v/>
      </c>
      <c r="I111" s="15">
        <f>IF($A111="","",$H$1+SUM($H$4:$H111)-SUMIFS($E$4:$E111,$F$4:$F111,"open"))</f>
        <v/>
      </c>
      <c r="J111" s="12" t="n"/>
    </row>
    <row r="112" ht="15" customHeight="1" s="23">
      <c r="A112" s="11" t="n"/>
      <c r="B112" s="12" t="n"/>
      <c r="C112" s="12" t="n"/>
      <c r="D112" s="13" t="n"/>
      <c r="E112" s="14" t="n"/>
      <c r="F112" s="12" t="n"/>
      <c r="G112" s="15">
        <f>IF($A112="","",IF($F112="won",$E112*$D112,IF($F112="void",$E112,0)))</f>
        <v/>
      </c>
      <c r="H112" s="15">
        <f>IF($A112="","",IF(OR($F112="open",$F112=""),0,$G112-$E112))</f>
        <v/>
      </c>
      <c r="I112" s="15">
        <f>IF($A112="","",$H$1+SUM($H$4:$H112)-SUMIFS($E$4:$E112,$F$4:$F112,"open"))</f>
        <v/>
      </c>
      <c r="J112" s="12" t="n"/>
    </row>
    <row r="113" ht="15" customHeight="1" s="23">
      <c r="A113" s="11" t="n"/>
      <c r="B113" s="12" t="n"/>
      <c r="C113" s="12" t="n"/>
      <c r="D113" s="13" t="n"/>
      <c r="E113" s="14" t="n"/>
      <c r="F113" s="12" t="n"/>
      <c r="G113" s="15">
        <f>IF($A113="","",IF($F113="won",$E113*$D113,IF($F113="void",$E113,0)))</f>
        <v/>
      </c>
      <c r="H113" s="15">
        <f>IF($A113="","",IF(OR($F113="open",$F113=""),0,$G113-$E113))</f>
        <v/>
      </c>
      <c r="I113" s="15">
        <f>IF($A113="","",$H$1+SUM($H$4:$H113)-SUMIFS($E$4:$E113,$F$4:$F113,"open"))</f>
        <v/>
      </c>
      <c r="J113" s="12" t="n"/>
    </row>
    <row r="114" ht="15" customHeight="1" s="23">
      <c r="A114" s="11" t="n"/>
      <c r="B114" s="12" t="n"/>
      <c r="C114" s="12" t="n"/>
      <c r="D114" s="13" t="n"/>
      <c r="E114" s="14" t="n"/>
      <c r="F114" s="12" t="n"/>
      <c r="G114" s="15">
        <f>IF($A114="","",IF($F114="won",$E114*$D114,IF($F114="void",$E114,0)))</f>
        <v/>
      </c>
      <c r="H114" s="15">
        <f>IF($A114="","",IF(OR($F114="open",$F114=""),0,$G114-$E114))</f>
        <v/>
      </c>
      <c r="I114" s="15">
        <f>IF($A114="","",$H$1+SUM($H$4:$H114)-SUMIFS($E$4:$E114,$F$4:$F114,"open"))</f>
        <v/>
      </c>
      <c r="J114" s="12" t="n"/>
    </row>
    <row r="115" ht="15" customHeight="1" s="23">
      <c r="A115" s="11" t="n"/>
      <c r="B115" s="12" t="n"/>
      <c r="C115" s="12" t="n"/>
      <c r="D115" s="13" t="n"/>
      <c r="E115" s="14" t="n"/>
      <c r="F115" s="12" t="n"/>
      <c r="G115" s="15">
        <f>IF($A115="","",IF($F115="won",$E115*$D115,IF($F115="void",$E115,0)))</f>
        <v/>
      </c>
      <c r="H115" s="15">
        <f>IF($A115="","",IF(OR($F115="open",$F115=""),0,$G115-$E115))</f>
        <v/>
      </c>
      <c r="I115" s="15">
        <f>IF($A115="","",$H$1+SUM($H$4:$H115)-SUMIFS($E$4:$E115,$F$4:$F115,"open"))</f>
        <v/>
      </c>
      <c r="J115" s="12" t="n"/>
    </row>
    <row r="116" ht="15" customHeight="1" s="23">
      <c r="A116" s="11" t="n"/>
      <c r="B116" s="12" t="n"/>
      <c r="C116" s="12" t="n"/>
      <c r="D116" s="13" t="n"/>
      <c r="E116" s="14" t="n"/>
      <c r="F116" s="12" t="n"/>
      <c r="G116" s="15">
        <f>IF($A116="","",IF($F116="won",$E116*$D116,IF($F116="void",$E116,0)))</f>
        <v/>
      </c>
      <c r="H116" s="15">
        <f>IF($A116="","",IF(OR($F116="open",$F116=""),0,$G116-$E116))</f>
        <v/>
      </c>
      <c r="I116" s="15">
        <f>IF($A116="","",$H$1+SUM($H$4:$H116)-SUMIFS($E$4:$E116,$F$4:$F116,"open"))</f>
        <v/>
      </c>
      <c r="J116" s="12" t="n"/>
    </row>
    <row r="117" ht="15" customHeight="1" s="23">
      <c r="A117" s="11" t="n"/>
      <c r="B117" s="12" t="n"/>
      <c r="C117" s="12" t="n"/>
      <c r="D117" s="13" t="n"/>
      <c r="E117" s="14" t="n"/>
      <c r="F117" s="12" t="n"/>
      <c r="G117" s="15">
        <f>IF($A117="","",IF($F117="won",$E117*$D117,IF($F117="void",$E117,0)))</f>
        <v/>
      </c>
      <c r="H117" s="15">
        <f>IF($A117="","",IF(OR($F117="open",$F117=""),0,$G117-$E117))</f>
        <v/>
      </c>
      <c r="I117" s="15">
        <f>IF($A117="","",$H$1+SUM($H$4:$H117)-SUMIFS($E$4:$E117,$F$4:$F117,"open"))</f>
        <v/>
      </c>
      <c r="J117" s="12" t="n"/>
    </row>
    <row r="118" ht="15" customHeight="1" s="23">
      <c r="A118" s="11" t="n"/>
      <c r="B118" s="12" t="n"/>
      <c r="C118" s="12" t="n"/>
      <c r="D118" s="13" t="n"/>
      <c r="E118" s="14" t="n"/>
      <c r="F118" s="12" t="n"/>
      <c r="G118" s="15">
        <f>IF($A118="","",IF($F118="won",$E118*$D118,IF($F118="void",$E118,0)))</f>
        <v/>
      </c>
      <c r="H118" s="15">
        <f>IF($A118="","",IF(OR($F118="open",$F118=""),0,$G118-$E118))</f>
        <v/>
      </c>
      <c r="I118" s="15">
        <f>IF($A118="","",$H$1+SUM($H$4:$H118)-SUMIFS($E$4:$E118,$F$4:$F118,"open"))</f>
        <v/>
      </c>
      <c r="J118" s="12" t="n"/>
    </row>
    <row r="119" ht="15" customHeight="1" s="23">
      <c r="A119" s="11" t="n"/>
      <c r="B119" s="12" t="n"/>
      <c r="C119" s="12" t="n"/>
      <c r="D119" s="13" t="n"/>
      <c r="E119" s="14" t="n"/>
      <c r="F119" s="12" t="n"/>
      <c r="G119" s="15">
        <f>IF($A119="","",IF($F119="won",$E119*$D119,IF($F119="void",$E119,0)))</f>
        <v/>
      </c>
      <c r="H119" s="15">
        <f>IF($A119="","",IF(OR($F119="open",$F119=""),0,$G119-$E119))</f>
        <v/>
      </c>
      <c r="I119" s="15">
        <f>IF($A119="","",$H$1+SUM($H$4:$H119)-SUMIFS($E$4:$E119,$F$4:$F119,"open"))</f>
        <v/>
      </c>
      <c r="J119" s="12" t="n"/>
    </row>
    <row r="120" ht="15" customHeight="1" s="23">
      <c r="A120" s="11" t="n"/>
      <c r="B120" s="12" t="n"/>
      <c r="C120" s="12" t="n"/>
      <c r="D120" s="13" t="n"/>
      <c r="E120" s="14" t="n"/>
      <c r="F120" s="12" t="n"/>
      <c r="G120" s="15">
        <f>IF($A120="","",IF($F120="won",$E120*$D120,IF($F120="void",$E120,0)))</f>
        <v/>
      </c>
      <c r="H120" s="15">
        <f>IF($A120="","",IF(OR($F120="open",$F120=""),0,$G120-$E120))</f>
        <v/>
      </c>
      <c r="I120" s="15">
        <f>IF($A120="","",$H$1+SUM($H$4:$H120)-SUMIFS($E$4:$E120,$F$4:$F120,"open"))</f>
        <v/>
      </c>
      <c r="J120" s="12" t="n"/>
    </row>
    <row r="121" ht="15" customHeight="1" s="23">
      <c r="A121" s="11" t="n"/>
      <c r="B121" s="12" t="n"/>
      <c r="C121" s="12" t="n"/>
      <c r="D121" s="13" t="n"/>
      <c r="E121" s="14" t="n"/>
      <c r="F121" s="12" t="n"/>
      <c r="G121" s="15">
        <f>IF($A121="","",IF($F121="won",$E121*$D121,IF($F121="void",$E121,0)))</f>
        <v/>
      </c>
      <c r="H121" s="15">
        <f>IF($A121="","",IF(OR($F121="open",$F121=""),0,$G121-$E121))</f>
        <v/>
      </c>
      <c r="I121" s="15">
        <f>IF($A121="","",$H$1+SUM($H$4:$H121)-SUMIFS($E$4:$E121,$F$4:$F121,"open"))</f>
        <v/>
      </c>
      <c r="J121" s="12" t="n"/>
    </row>
    <row r="122" ht="15" customHeight="1" s="23">
      <c r="A122" s="11" t="n"/>
      <c r="B122" s="12" t="n"/>
      <c r="C122" s="12" t="n"/>
      <c r="D122" s="13" t="n"/>
      <c r="E122" s="14" t="n"/>
      <c r="F122" s="12" t="n"/>
      <c r="G122" s="15">
        <f>IF($A122="","",IF($F122="won",$E122*$D122,IF($F122="void",$E122,0)))</f>
        <v/>
      </c>
      <c r="H122" s="15">
        <f>IF($A122="","",IF(OR($F122="open",$F122=""),0,$G122-$E122))</f>
        <v/>
      </c>
      <c r="I122" s="15">
        <f>IF($A122="","",$H$1+SUM($H$4:$H122)-SUMIFS($E$4:$E122,$F$4:$F122,"open"))</f>
        <v/>
      </c>
      <c r="J122" s="12" t="n"/>
    </row>
    <row r="123" ht="15" customHeight="1" s="23">
      <c r="A123" s="11" t="n"/>
      <c r="B123" s="12" t="n"/>
      <c r="C123" s="12" t="n"/>
      <c r="D123" s="13" t="n"/>
      <c r="E123" s="14" t="n"/>
      <c r="F123" s="12" t="n"/>
      <c r="G123" s="15">
        <f>IF($A123="","",IF($F123="won",$E123*$D123,IF($F123="void",$E123,0)))</f>
        <v/>
      </c>
      <c r="H123" s="15">
        <f>IF($A123="","",IF(OR($F123="open",$F123=""),0,$G123-$E123))</f>
        <v/>
      </c>
      <c r="I123" s="15">
        <f>IF($A123="","",$H$1+SUM($H$4:$H123)-SUMIFS($E$4:$E123,$F$4:$F123,"open"))</f>
        <v/>
      </c>
      <c r="J123" s="12" t="n"/>
    </row>
    <row r="124" ht="15" customHeight="1" s="23">
      <c r="A124" s="11" t="n"/>
      <c r="B124" s="12" t="n"/>
      <c r="C124" s="12" t="n"/>
      <c r="D124" s="13" t="n"/>
      <c r="E124" s="14" t="n"/>
      <c r="F124" s="12" t="n"/>
      <c r="G124" s="15">
        <f>IF($A124="","",IF($F124="won",$E124*$D124,IF($F124="void",$E124,0)))</f>
        <v/>
      </c>
      <c r="H124" s="15">
        <f>IF($A124="","",IF(OR($F124="open",$F124=""),0,$G124-$E124))</f>
        <v/>
      </c>
      <c r="I124" s="15">
        <f>IF($A124="","",$H$1+SUM($H$4:$H124)-SUMIFS($E$4:$E124,$F$4:$F124,"open"))</f>
        <v/>
      </c>
      <c r="J124" s="12" t="n"/>
    </row>
    <row r="125" ht="15" customHeight="1" s="23">
      <c r="A125" s="11" t="n"/>
      <c r="B125" s="12" t="n"/>
      <c r="C125" s="12" t="n"/>
      <c r="D125" s="13" t="n"/>
      <c r="E125" s="14" t="n"/>
      <c r="F125" s="12" t="n"/>
      <c r="G125" s="15">
        <f>IF($A125="","",IF($F125="won",$E125*$D125,IF($F125="void",$E125,0)))</f>
        <v/>
      </c>
      <c r="H125" s="15">
        <f>IF($A125="","",IF(OR($F125="open",$F125=""),0,$G125-$E125))</f>
        <v/>
      </c>
      <c r="I125" s="15">
        <f>IF($A125="","",$H$1+SUM($H$4:$H125)-SUMIFS($E$4:$E125,$F$4:$F125,"open"))</f>
        <v/>
      </c>
      <c r="J125" s="12" t="n"/>
    </row>
    <row r="126" ht="15" customHeight="1" s="23">
      <c r="A126" s="11" t="n"/>
      <c r="B126" s="12" t="n"/>
      <c r="C126" s="12" t="n"/>
      <c r="D126" s="13" t="n"/>
      <c r="E126" s="14" t="n"/>
      <c r="F126" s="12" t="n"/>
      <c r="G126" s="15">
        <f>IF($A126="","",IF($F126="won",$E126*$D126,IF($F126="void",$E126,0)))</f>
        <v/>
      </c>
      <c r="H126" s="15">
        <f>IF($A126="","",IF(OR($F126="open",$F126=""),0,$G126-$E126))</f>
        <v/>
      </c>
      <c r="I126" s="15">
        <f>IF($A126="","",$H$1+SUM($H$4:$H126)-SUMIFS($E$4:$E126,$F$4:$F126,"open"))</f>
        <v/>
      </c>
      <c r="J126" s="12" t="n"/>
    </row>
    <row r="127" ht="15" customHeight="1" s="23">
      <c r="A127" s="11" t="n"/>
      <c r="B127" s="12" t="n"/>
      <c r="C127" s="12" t="n"/>
      <c r="D127" s="13" t="n"/>
      <c r="E127" s="14" t="n"/>
      <c r="F127" s="12" t="n"/>
      <c r="G127" s="15">
        <f>IF($A127="","",IF($F127="won",$E127*$D127,IF($F127="void",$E127,0)))</f>
        <v/>
      </c>
      <c r="H127" s="15">
        <f>IF($A127="","",IF(OR($F127="open",$F127=""),0,$G127-$E127))</f>
        <v/>
      </c>
      <c r="I127" s="15">
        <f>IF($A127="","",$H$1+SUM($H$4:$H127)-SUMIFS($E$4:$E127,$F$4:$F127,"open"))</f>
        <v/>
      </c>
      <c r="J127" s="12" t="n"/>
    </row>
    <row r="128" ht="15" customHeight="1" s="23">
      <c r="A128" s="11" t="n"/>
      <c r="B128" s="12" t="n"/>
      <c r="C128" s="12" t="n"/>
      <c r="D128" s="13" t="n"/>
      <c r="E128" s="14" t="n"/>
      <c r="F128" s="12" t="n"/>
      <c r="G128" s="15">
        <f>IF($A128="","",IF($F128="won",$E128*$D128,IF($F128="void",$E128,0)))</f>
        <v/>
      </c>
      <c r="H128" s="15">
        <f>IF($A128="","",IF(OR($F128="open",$F128=""),0,$G128-$E128))</f>
        <v/>
      </c>
      <c r="I128" s="15">
        <f>IF($A128="","",$H$1+SUM($H$4:$H128)-SUMIFS($E$4:$E128,$F$4:$F128,"open"))</f>
        <v/>
      </c>
      <c r="J128" s="12" t="n"/>
    </row>
    <row r="129" ht="15" customHeight="1" s="23">
      <c r="A129" s="11" t="n"/>
      <c r="B129" s="12" t="n"/>
      <c r="C129" s="12" t="n"/>
      <c r="D129" s="13" t="n"/>
      <c r="E129" s="14" t="n"/>
      <c r="F129" s="12" t="n"/>
      <c r="G129" s="15">
        <f>IF($A129="","",IF($F129="won",$E129*$D129,IF($F129="void",$E129,0)))</f>
        <v/>
      </c>
      <c r="H129" s="15">
        <f>IF($A129="","",IF(OR($F129="open",$F129=""),0,$G129-$E129))</f>
        <v/>
      </c>
      <c r="I129" s="15">
        <f>IF($A129="","",$H$1+SUM($H$4:$H129)-SUMIFS($E$4:$E129,$F$4:$F129,"open"))</f>
        <v/>
      </c>
      <c r="J129" s="12" t="n"/>
    </row>
    <row r="130" ht="15" customHeight="1" s="23">
      <c r="A130" s="11" t="n"/>
      <c r="B130" s="12" t="n"/>
      <c r="C130" s="12" t="n"/>
      <c r="D130" s="13" t="n"/>
      <c r="E130" s="14" t="n"/>
      <c r="F130" s="12" t="n"/>
      <c r="G130" s="15">
        <f>IF($A130="","",IF($F130="won",$E130*$D130,IF($F130="void",$E130,0)))</f>
        <v/>
      </c>
      <c r="H130" s="15">
        <f>IF($A130="","",IF(OR($F130="open",$F130=""),0,$G130-$E130))</f>
        <v/>
      </c>
      <c r="I130" s="15">
        <f>IF($A130="","",$H$1+SUM($H$4:$H130)-SUMIFS($E$4:$E130,$F$4:$F130,"open"))</f>
        <v/>
      </c>
      <c r="J130" s="12" t="n"/>
    </row>
    <row r="131" ht="15" customHeight="1" s="23">
      <c r="A131" s="11" t="n"/>
      <c r="B131" s="12" t="n"/>
      <c r="C131" s="12" t="n"/>
      <c r="D131" s="13" t="n"/>
      <c r="E131" s="14" t="n"/>
      <c r="F131" s="12" t="n"/>
      <c r="G131" s="15">
        <f>IF($A131="","",IF($F131="won",$E131*$D131,IF($F131="void",$E131,0)))</f>
        <v/>
      </c>
      <c r="H131" s="15">
        <f>IF($A131="","",IF(OR($F131="open",$F131=""),0,$G131-$E131))</f>
        <v/>
      </c>
      <c r="I131" s="15">
        <f>IF($A131="","",$H$1+SUM($H$4:$H131)-SUMIFS($E$4:$E131,$F$4:$F131,"open"))</f>
        <v/>
      </c>
      <c r="J131" s="12" t="n"/>
    </row>
    <row r="132" ht="15" customHeight="1" s="23">
      <c r="A132" s="11" t="n"/>
      <c r="B132" s="12" t="n"/>
      <c r="C132" s="12" t="n"/>
      <c r="D132" s="13" t="n"/>
      <c r="E132" s="14" t="n"/>
      <c r="F132" s="12" t="n"/>
      <c r="G132" s="15">
        <f>IF($A132="","",IF($F132="won",$E132*$D132,IF($F132="void",$E132,0)))</f>
        <v/>
      </c>
      <c r="H132" s="15">
        <f>IF($A132="","",IF(OR($F132="open",$F132=""),0,$G132-$E132))</f>
        <v/>
      </c>
      <c r="I132" s="15">
        <f>IF($A132="","",$H$1+SUM($H$4:$H132)-SUMIFS($E$4:$E132,$F$4:$F132,"open"))</f>
        <v/>
      </c>
      <c r="J132" s="12" t="n"/>
    </row>
    <row r="133" ht="15" customHeight="1" s="23">
      <c r="A133" s="11" t="n"/>
      <c r="B133" s="12" t="n"/>
      <c r="C133" s="12" t="n"/>
      <c r="D133" s="13" t="n"/>
      <c r="E133" s="14" t="n"/>
      <c r="F133" s="12" t="n"/>
      <c r="G133" s="15">
        <f>IF($A133="","",IF($F133="won",$E133*$D133,IF($F133="void",$E133,0)))</f>
        <v/>
      </c>
      <c r="H133" s="15">
        <f>IF($A133="","",IF(OR($F133="open",$F133=""),0,$G133-$E133))</f>
        <v/>
      </c>
      <c r="I133" s="15">
        <f>IF($A133="","",$H$1+SUM($H$4:$H133)-SUMIFS($E$4:$E133,$F$4:$F133,"open"))</f>
        <v/>
      </c>
      <c r="J133" s="12" t="n"/>
    </row>
    <row r="134" ht="15" customHeight="1" s="23">
      <c r="A134" s="11" t="n"/>
      <c r="B134" s="12" t="n"/>
      <c r="C134" s="12" t="n"/>
      <c r="D134" s="13" t="n"/>
      <c r="E134" s="14" t="n"/>
      <c r="F134" s="12" t="n"/>
      <c r="G134" s="15">
        <f>IF($A134="","",IF($F134="won",$E134*$D134,IF($F134="void",$E134,0)))</f>
        <v/>
      </c>
      <c r="H134" s="15">
        <f>IF($A134="","",IF(OR($F134="open",$F134=""),0,$G134-$E134))</f>
        <v/>
      </c>
      <c r="I134" s="15">
        <f>IF($A134="","",$H$1+SUM($H$4:$H134)-SUMIFS($E$4:$E134,$F$4:$F134,"open"))</f>
        <v/>
      </c>
      <c r="J134" s="12" t="n"/>
    </row>
    <row r="135" ht="15" customHeight="1" s="23">
      <c r="A135" s="11" t="n"/>
      <c r="B135" s="12" t="n"/>
      <c r="C135" s="12" t="n"/>
      <c r="D135" s="13" t="n"/>
      <c r="E135" s="14" t="n"/>
      <c r="F135" s="12" t="n"/>
      <c r="G135" s="15">
        <f>IF($A135="","",IF($F135="won",$E135*$D135,IF($F135="void",$E135,0)))</f>
        <v/>
      </c>
      <c r="H135" s="15">
        <f>IF($A135="","",IF(OR($F135="open",$F135=""),0,$G135-$E135))</f>
        <v/>
      </c>
      <c r="I135" s="15">
        <f>IF($A135="","",$H$1+SUM($H$4:$H135)-SUMIFS($E$4:$E135,$F$4:$F135,"open"))</f>
        <v/>
      </c>
      <c r="J135" s="12" t="n"/>
    </row>
    <row r="136" ht="15" customHeight="1" s="23">
      <c r="A136" s="11" t="n"/>
      <c r="B136" s="12" t="n"/>
      <c r="C136" s="12" t="n"/>
      <c r="D136" s="13" t="n"/>
      <c r="E136" s="14" t="n"/>
      <c r="F136" s="12" t="n"/>
      <c r="G136" s="15">
        <f>IF($A136="","",IF($F136="won",$E136*$D136,IF($F136="void",$E136,0)))</f>
        <v/>
      </c>
      <c r="H136" s="15">
        <f>IF($A136="","",IF(OR($F136="open",$F136=""),0,$G136-$E136))</f>
        <v/>
      </c>
      <c r="I136" s="15">
        <f>IF($A136="","",$H$1+SUM($H$4:$H136)-SUMIFS($E$4:$E136,$F$4:$F136,"open"))</f>
        <v/>
      </c>
      <c r="J136" s="12" t="n"/>
    </row>
    <row r="137" ht="15" customHeight="1" s="23">
      <c r="A137" s="11" t="n"/>
      <c r="B137" s="12" t="n"/>
      <c r="C137" s="12" t="n"/>
      <c r="D137" s="13" t="n"/>
      <c r="E137" s="14" t="n"/>
      <c r="F137" s="12" t="n"/>
      <c r="G137" s="15">
        <f>IF($A137="","",IF($F137="won",$E137*$D137,IF($F137="void",$E137,0)))</f>
        <v/>
      </c>
      <c r="H137" s="15">
        <f>IF($A137="","",IF(OR($F137="open",$F137=""),0,$G137-$E137))</f>
        <v/>
      </c>
      <c r="I137" s="15">
        <f>IF($A137="","",$H$1+SUM($H$4:$H137)-SUMIFS($E$4:$E137,$F$4:$F137,"open"))</f>
        <v/>
      </c>
      <c r="J137" s="12" t="n"/>
    </row>
    <row r="138" ht="15" customHeight="1" s="23">
      <c r="A138" s="11" t="n"/>
      <c r="B138" s="12" t="n"/>
      <c r="C138" s="12" t="n"/>
      <c r="D138" s="13" t="n"/>
      <c r="E138" s="14" t="n"/>
      <c r="F138" s="12" t="n"/>
      <c r="G138" s="15">
        <f>IF($A138="","",IF($F138="won",$E138*$D138,IF($F138="void",$E138,0)))</f>
        <v/>
      </c>
      <c r="H138" s="15">
        <f>IF($A138="","",IF(OR($F138="open",$F138=""),0,$G138-$E138))</f>
        <v/>
      </c>
      <c r="I138" s="15">
        <f>IF($A138="","",$H$1+SUM($H$4:$H138)-SUMIFS($E$4:$E138,$F$4:$F138,"open"))</f>
        <v/>
      </c>
      <c r="J138" s="12" t="n"/>
    </row>
    <row r="139" ht="15" customHeight="1" s="23">
      <c r="A139" s="11" t="n"/>
      <c r="B139" s="12" t="n"/>
      <c r="C139" s="12" t="n"/>
      <c r="D139" s="13" t="n"/>
      <c r="E139" s="14" t="n"/>
      <c r="F139" s="12" t="n"/>
      <c r="G139" s="15">
        <f>IF($A139="","",IF($F139="won",$E139*$D139,IF($F139="void",$E139,0)))</f>
        <v/>
      </c>
      <c r="H139" s="15">
        <f>IF($A139="","",IF(OR($F139="open",$F139=""),0,$G139-$E139))</f>
        <v/>
      </c>
      <c r="I139" s="15">
        <f>IF($A139="","",$H$1+SUM($H$4:$H139)-SUMIFS($E$4:$E139,$F$4:$F139,"open"))</f>
        <v/>
      </c>
      <c r="J139" s="12" t="n"/>
    </row>
    <row r="140" ht="15" customHeight="1" s="23">
      <c r="A140" s="11" t="n"/>
      <c r="B140" s="12" t="n"/>
      <c r="C140" s="12" t="n"/>
      <c r="D140" s="13" t="n"/>
      <c r="E140" s="14" t="n"/>
      <c r="F140" s="12" t="n"/>
      <c r="G140" s="15">
        <f>IF($A140="","",IF($F140="won",$E140*$D140,IF($F140="void",$E140,0)))</f>
        <v/>
      </c>
      <c r="H140" s="15">
        <f>IF($A140="","",IF(OR($F140="open",$F140=""),0,$G140-$E140))</f>
        <v/>
      </c>
      <c r="I140" s="15">
        <f>IF($A140="","",$H$1+SUM($H$4:$H140)-SUMIFS($E$4:$E140,$F$4:$F140,"open"))</f>
        <v/>
      </c>
      <c r="J140" s="12" t="n"/>
    </row>
    <row r="141" ht="15" customHeight="1" s="23">
      <c r="A141" s="11" t="n"/>
      <c r="B141" s="12" t="n"/>
      <c r="C141" s="12" t="n"/>
      <c r="D141" s="13" t="n"/>
      <c r="E141" s="14" t="n"/>
      <c r="F141" s="12" t="n"/>
      <c r="G141" s="15">
        <f>IF($A141="","",IF($F141="won",$E141*$D141,IF($F141="void",$E141,0)))</f>
        <v/>
      </c>
      <c r="H141" s="15">
        <f>IF($A141="","",IF(OR($F141="open",$F141=""),0,$G141-$E141))</f>
        <v/>
      </c>
      <c r="I141" s="15">
        <f>IF($A141="","",$H$1+SUM($H$4:$H141)-SUMIFS($E$4:$E141,$F$4:$F141,"open"))</f>
        <v/>
      </c>
      <c r="J141" s="12" t="n"/>
    </row>
    <row r="142" ht="15" customHeight="1" s="23">
      <c r="A142" s="11" t="n"/>
      <c r="B142" s="12" t="n"/>
      <c r="C142" s="12" t="n"/>
      <c r="D142" s="13" t="n"/>
      <c r="E142" s="14" t="n"/>
      <c r="F142" s="12" t="n"/>
      <c r="G142" s="15">
        <f>IF($A142="","",IF($F142="won",$E142*$D142,IF($F142="void",$E142,0)))</f>
        <v/>
      </c>
      <c r="H142" s="15">
        <f>IF($A142="","",IF(OR($F142="open",$F142=""),0,$G142-$E142))</f>
        <v/>
      </c>
      <c r="I142" s="15">
        <f>IF($A142="","",$H$1+SUM($H$4:$H142)-SUMIFS($E$4:$E142,$F$4:$F142,"open"))</f>
        <v/>
      </c>
      <c r="J142" s="12" t="n"/>
    </row>
    <row r="143" ht="15" customHeight="1" s="23">
      <c r="A143" s="11" t="n"/>
      <c r="B143" s="12" t="n"/>
      <c r="C143" s="12" t="n"/>
      <c r="D143" s="13" t="n"/>
      <c r="E143" s="14" t="n"/>
      <c r="F143" s="12" t="n"/>
      <c r="G143" s="15">
        <f>IF($A143="","",IF($F143="won",$E143*$D143,IF($F143="void",$E143,0)))</f>
        <v/>
      </c>
      <c r="H143" s="15">
        <f>IF($A143="","",IF(OR($F143="open",$F143=""),0,$G143-$E143))</f>
        <v/>
      </c>
      <c r="I143" s="15">
        <f>IF($A143="","",$H$1+SUM($H$4:$H143)-SUMIFS($E$4:$E143,$F$4:$F143,"open"))</f>
        <v/>
      </c>
      <c r="J143" s="12" t="n"/>
    </row>
    <row r="144" ht="15" customHeight="1" s="23">
      <c r="A144" s="11" t="n"/>
      <c r="B144" s="12" t="n"/>
      <c r="C144" s="12" t="n"/>
      <c r="D144" s="13" t="n"/>
      <c r="E144" s="14" t="n"/>
      <c r="F144" s="12" t="n"/>
      <c r="G144" s="15">
        <f>IF($A144="","",IF($F144="won",$E144*$D144,IF($F144="void",$E144,0)))</f>
        <v/>
      </c>
      <c r="H144" s="15">
        <f>IF($A144="","",IF(OR($F144="open",$F144=""),0,$G144-$E144))</f>
        <v/>
      </c>
      <c r="I144" s="15">
        <f>IF($A144="","",$H$1+SUM($H$4:$H144)-SUMIFS($E$4:$E144,$F$4:$F144,"open"))</f>
        <v/>
      </c>
      <c r="J144" s="12" t="n"/>
    </row>
    <row r="145" ht="15" customHeight="1" s="23">
      <c r="A145" s="11" t="n"/>
      <c r="B145" s="12" t="n"/>
      <c r="C145" s="12" t="n"/>
      <c r="D145" s="13" t="n"/>
      <c r="E145" s="14" t="n"/>
      <c r="F145" s="12" t="n"/>
      <c r="G145" s="15">
        <f>IF($A145="","",IF($F145="won",$E145*$D145,IF($F145="void",$E145,0)))</f>
        <v/>
      </c>
      <c r="H145" s="15">
        <f>IF($A145="","",IF(OR($F145="open",$F145=""),0,$G145-$E145))</f>
        <v/>
      </c>
      <c r="I145" s="15">
        <f>IF($A145="","",$H$1+SUM($H$4:$H145)-SUMIFS($E$4:$E145,$F$4:$F145,"open"))</f>
        <v/>
      </c>
      <c r="J145" s="12" t="n"/>
    </row>
    <row r="146" ht="15" customHeight="1" s="23">
      <c r="A146" s="11" t="n"/>
      <c r="B146" s="12" t="n"/>
      <c r="C146" s="12" t="n"/>
      <c r="D146" s="13" t="n"/>
      <c r="E146" s="14" t="n"/>
      <c r="F146" s="12" t="n"/>
      <c r="G146" s="15">
        <f>IF($A146="","",IF($F146="won",$E146*$D146,IF($F146="void",$E146,0)))</f>
        <v/>
      </c>
      <c r="H146" s="15">
        <f>IF($A146="","",IF(OR($F146="open",$F146=""),0,$G146-$E146))</f>
        <v/>
      </c>
      <c r="I146" s="15">
        <f>IF($A146="","",$H$1+SUM($H$4:$H146)-SUMIFS($E$4:$E146,$F$4:$F146,"open"))</f>
        <v/>
      </c>
      <c r="J146" s="12" t="n"/>
    </row>
    <row r="147" ht="15" customHeight="1" s="23">
      <c r="A147" s="11" t="n"/>
      <c r="B147" s="12" t="n"/>
      <c r="C147" s="12" t="n"/>
      <c r="D147" s="13" t="n"/>
      <c r="E147" s="14" t="n"/>
      <c r="F147" s="12" t="n"/>
      <c r="G147" s="15">
        <f>IF($A147="","",IF($F147="won",$E147*$D147,IF($F147="void",$E147,0)))</f>
        <v/>
      </c>
      <c r="H147" s="15">
        <f>IF($A147="","",IF(OR($F147="open",$F147=""),0,$G147-$E147))</f>
        <v/>
      </c>
      <c r="I147" s="15">
        <f>IF($A147="","",$H$1+SUM($H$4:$H147)-SUMIFS($E$4:$E147,$F$4:$F147,"open"))</f>
        <v/>
      </c>
      <c r="J147" s="12" t="n"/>
    </row>
    <row r="148" ht="15" customHeight="1" s="23">
      <c r="A148" s="11" t="n"/>
      <c r="B148" s="12" t="n"/>
      <c r="C148" s="12" t="n"/>
      <c r="D148" s="13" t="n"/>
      <c r="E148" s="14" t="n"/>
      <c r="F148" s="12" t="n"/>
      <c r="G148" s="15">
        <f>IF($A148="","",IF($F148="won",$E148*$D148,IF($F148="void",$E148,0)))</f>
        <v/>
      </c>
      <c r="H148" s="15">
        <f>IF($A148="","",IF(OR($F148="open",$F148=""),0,$G148-$E148))</f>
        <v/>
      </c>
      <c r="I148" s="15">
        <f>IF($A148="","",$H$1+SUM($H$4:$H148)-SUMIFS($E$4:$E148,$F$4:$F148,"open"))</f>
        <v/>
      </c>
      <c r="J148" s="12" t="n"/>
    </row>
    <row r="149" ht="15" customHeight="1" s="23">
      <c r="A149" s="11" t="n"/>
      <c r="B149" s="12" t="n"/>
      <c r="C149" s="12" t="n"/>
      <c r="D149" s="13" t="n"/>
      <c r="E149" s="14" t="n"/>
      <c r="F149" s="12" t="n"/>
      <c r="G149" s="15">
        <f>IF($A149="","",IF($F149="won",$E149*$D149,IF($F149="void",$E149,0)))</f>
        <v/>
      </c>
      <c r="H149" s="15">
        <f>IF($A149="","",IF(OR($F149="open",$F149=""),0,$G149-$E149))</f>
        <v/>
      </c>
      <c r="I149" s="15">
        <f>IF($A149="","",$H$1+SUM($H$4:$H149)-SUMIFS($E$4:$E149,$F$4:$F149,"open"))</f>
        <v/>
      </c>
      <c r="J149" s="12" t="n"/>
    </row>
    <row r="150" ht="15" customHeight="1" s="23">
      <c r="A150" s="11" t="n"/>
      <c r="B150" s="12" t="n"/>
      <c r="C150" s="12" t="n"/>
      <c r="D150" s="13" t="n"/>
      <c r="E150" s="14" t="n"/>
      <c r="F150" s="12" t="n"/>
      <c r="G150" s="15">
        <f>IF($A150="","",IF($F150="won",$E150*$D150,IF($F150="void",$E150,0)))</f>
        <v/>
      </c>
      <c r="H150" s="15">
        <f>IF($A150="","",IF(OR($F150="open",$F150=""),0,$G150-$E150))</f>
        <v/>
      </c>
      <c r="I150" s="15">
        <f>IF($A150="","",$H$1+SUM($H$4:$H150)-SUMIFS($E$4:$E150,$F$4:$F150,"open"))</f>
        <v/>
      </c>
      <c r="J150" s="12" t="n"/>
    </row>
    <row r="151" ht="15" customHeight="1" s="23">
      <c r="A151" s="11" t="n"/>
      <c r="B151" s="12" t="n"/>
      <c r="C151" s="12" t="n"/>
      <c r="D151" s="13" t="n"/>
      <c r="E151" s="14" t="n"/>
      <c r="F151" s="12" t="n"/>
      <c r="G151" s="15">
        <f>IF($A151="","",IF($F151="won",$E151*$D151,IF($F151="void",$E151,0)))</f>
        <v/>
      </c>
      <c r="H151" s="15">
        <f>IF($A151="","",IF(OR($F151="open",$F151=""),0,$G151-$E151))</f>
        <v/>
      </c>
      <c r="I151" s="15">
        <f>IF($A151="","",$H$1+SUM($H$4:$H151)-SUMIFS($E$4:$E151,$F$4:$F151,"open"))</f>
        <v/>
      </c>
      <c r="J151" s="12" t="n"/>
    </row>
    <row r="152" ht="15" customHeight="1" s="23">
      <c r="A152" s="11" t="n"/>
      <c r="B152" s="12" t="n"/>
      <c r="C152" s="12" t="n"/>
      <c r="D152" s="13" t="n"/>
      <c r="E152" s="14" t="n"/>
      <c r="F152" s="12" t="n"/>
      <c r="G152" s="15">
        <f>IF($A152="","",IF($F152="won",$E152*$D152,IF($F152="void",$E152,0)))</f>
        <v/>
      </c>
      <c r="H152" s="15">
        <f>IF($A152="","",IF(OR($F152="open",$F152=""),0,$G152-$E152))</f>
        <v/>
      </c>
      <c r="I152" s="15">
        <f>IF($A152="","",$H$1+SUM($H$4:$H152)-SUMIFS($E$4:$E152,$F$4:$F152,"open"))</f>
        <v/>
      </c>
      <c r="J152" s="12" t="n"/>
    </row>
    <row r="153" ht="15" customHeight="1" s="23">
      <c r="A153" s="11" t="n"/>
      <c r="B153" s="12" t="n"/>
      <c r="C153" s="12" t="n"/>
      <c r="D153" s="13" t="n"/>
      <c r="E153" s="14" t="n"/>
      <c r="F153" s="12" t="n"/>
      <c r="G153" s="15">
        <f>IF($A153="","",IF($F153="won",$E153*$D153,IF($F153="void",$E153,0)))</f>
        <v/>
      </c>
      <c r="H153" s="15">
        <f>IF($A153="","",IF(OR($F153="open",$F153=""),0,$G153-$E153))</f>
        <v/>
      </c>
      <c r="I153" s="15">
        <f>IF($A153="","",$H$1+SUM($H$4:$H153)-SUMIFS($E$4:$E153,$F$4:$F153,"open"))</f>
        <v/>
      </c>
      <c r="J153" s="12" t="n"/>
    </row>
    <row r="154" ht="15" customHeight="1" s="23">
      <c r="A154" s="11" t="n"/>
      <c r="B154" s="12" t="n"/>
      <c r="C154" s="12" t="n"/>
      <c r="D154" s="13" t="n"/>
      <c r="E154" s="14" t="n"/>
      <c r="F154" s="12" t="n"/>
      <c r="G154" s="15">
        <f>IF($A154="","",IF($F154="won",$E154*$D154,IF($F154="void",$E154,0)))</f>
        <v/>
      </c>
      <c r="H154" s="15">
        <f>IF($A154="","",IF(OR($F154="open",$F154=""),0,$G154-$E154))</f>
        <v/>
      </c>
      <c r="I154" s="15">
        <f>IF($A154="","",$H$1+SUM($H$4:$H154)-SUMIFS($E$4:$E154,$F$4:$F154,"open"))</f>
        <v/>
      </c>
      <c r="J154" s="12" t="n"/>
    </row>
    <row r="155" ht="15" customHeight="1" s="23">
      <c r="A155" s="11" t="n"/>
      <c r="B155" s="12" t="n"/>
      <c r="C155" s="12" t="n"/>
      <c r="D155" s="13" t="n"/>
      <c r="E155" s="14" t="n"/>
      <c r="F155" s="12" t="n"/>
      <c r="G155" s="15">
        <f>IF($A155="","",IF($F155="won",$E155*$D155,IF($F155="void",$E155,0)))</f>
        <v/>
      </c>
      <c r="H155" s="15">
        <f>IF($A155="","",IF(OR($F155="open",$F155=""),0,$G155-$E155))</f>
        <v/>
      </c>
      <c r="I155" s="15">
        <f>IF($A155="","",$H$1+SUM($H$4:$H155)-SUMIFS($E$4:$E155,$F$4:$F155,"open"))</f>
        <v/>
      </c>
      <c r="J155" s="12" t="n"/>
    </row>
    <row r="156" ht="15" customHeight="1" s="23">
      <c r="A156" s="11" t="n"/>
      <c r="B156" s="12" t="n"/>
      <c r="C156" s="12" t="n"/>
      <c r="D156" s="13" t="n"/>
      <c r="E156" s="14" t="n"/>
      <c r="F156" s="12" t="n"/>
      <c r="G156" s="15">
        <f>IF($A156="","",IF($F156="won",$E156*$D156,IF($F156="void",$E156,0)))</f>
        <v/>
      </c>
      <c r="H156" s="15">
        <f>IF($A156="","",IF(OR($F156="open",$F156=""),0,$G156-$E156))</f>
        <v/>
      </c>
      <c r="I156" s="15">
        <f>IF($A156="","",$H$1+SUM($H$4:$H156)-SUMIFS($E$4:$E156,$F$4:$F156,"open"))</f>
        <v/>
      </c>
      <c r="J156" s="12" t="n"/>
    </row>
    <row r="157" ht="15" customHeight="1" s="23">
      <c r="A157" s="11" t="n"/>
      <c r="B157" s="12" t="n"/>
      <c r="C157" s="12" t="n"/>
      <c r="D157" s="13" t="n"/>
      <c r="E157" s="14" t="n"/>
      <c r="F157" s="12" t="n"/>
      <c r="G157" s="15">
        <f>IF($A157="","",IF($F157="won",$E157*$D157,IF($F157="void",$E157,0)))</f>
        <v/>
      </c>
      <c r="H157" s="15">
        <f>IF($A157="","",IF(OR($F157="open",$F157=""),0,$G157-$E157))</f>
        <v/>
      </c>
      <c r="I157" s="15">
        <f>IF($A157="","",$H$1+SUM($H$4:$H157)-SUMIFS($E$4:$E157,$F$4:$F157,"open"))</f>
        <v/>
      </c>
      <c r="J157" s="12" t="n"/>
    </row>
    <row r="158" ht="15" customHeight="1" s="23">
      <c r="A158" s="11" t="n"/>
      <c r="B158" s="12" t="n"/>
      <c r="C158" s="12" t="n"/>
      <c r="D158" s="13" t="n"/>
      <c r="E158" s="14" t="n"/>
      <c r="F158" s="12" t="n"/>
      <c r="G158" s="15">
        <f>IF($A158="","",IF($F158="won",$E158*$D158,IF($F158="void",$E158,0)))</f>
        <v/>
      </c>
      <c r="H158" s="15">
        <f>IF($A158="","",IF(OR($F158="open",$F158=""),0,$G158-$E158))</f>
        <v/>
      </c>
      <c r="I158" s="15">
        <f>IF($A158="","",$H$1+SUM($H$4:$H158)-SUMIFS($E$4:$E158,$F$4:$F158,"open"))</f>
        <v/>
      </c>
      <c r="J158" s="12" t="n"/>
    </row>
    <row r="159" ht="15" customHeight="1" s="23">
      <c r="A159" s="11" t="n"/>
      <c r="B159" s="12" t="n"/>
      <c r="C159" s="12" t="n"/>
      <c r="D159" s="13" t="n"/>
      <c r="E159" s="14" t="n"/>
      <c r="F159" s="12" t="n"/>
      <c r="G159" s="15">
        <f>IF($A159="","",IF($F159="won",$E159*$D159,IF($F159="void",$E159,0)))</f>
        <v/>
      </c>
      <c r="H159" s="15">
        <f>IF($A159="","",IF(OR($F159="open",$F159=""),0,$G159-$E159))</f>
        <v/>
      </c>
      <c r="I159" s="15">
        <f>IF($A159="","",$H$1+SUM($H$4:$H159)-SUMIFS($E$4:$E159,$F$4:$F159,"open"))</f>
        <v/>
      </c>
      <c r="J159" s="12" t="n"/>
    </row>
    <row r="160" ht="15" customHeight="1" s="23">
      <c r="A160" s="11" t="n"/>
      <c r="B160" s="12" t="n"/>
      <c r="C160" s="12" t="n"/>
      <c r="D160" s="13" t="n"/>
      <c r="E160" s="14" t="n"/>
      <c r="F160" s="12" t="n"/>
      <c r="G160" s="15">
        <f>IF($A160="","",IF($F160="won",$E160*$D160,IF($F160="void",$E160,0)))</f>
        <v/>
      </c>
      <c r="H160" s="15">
        <f>IF($A160="","",IF(OR($F160="open",$F160=""),0,$G160-$E160))</f>
        <v/>
      </c>
      <c r="I160" s="15">
        <f>IF($A160="","",$H$1+SUM($H$4:$H160)-SUMIFS($E$4:$E160,$F$4:$F160,"open"))</f>
        <v/>
      </c>
      <c r="J160" s="12" t="n"/>
    </row>
    <row r="161" ht="15" customHeight="1" s="23">
      <c r="A161" s="11" t="n"/>
      <c r="B161" s="12" t="n"/>
      <c r="C161" s="12" t="n"/>
      <c r="D161" s="13" t="n"/>
      <c r="E161" s="14" t="n"/>
      <c r="F161" s="12" t="n"/>
      <c r="G161" s="15">
        <f>IF($A161="","",IF($F161="won",$E161*$D161,IF($F161="void",$E161,0)))</f>
        <v/>
      </c>
      <c r="H161" s="15">
        <f>IF($A161="","",IF(OR($F161="open",$F161=""),0,$G161-$E161))</f>
        <v/>
      </c>
      <c r="I161" s="15">
        <f>IF($A161="","",$H$1+SUM($H$4:$H161)-SUMIFS($E$4:$E161,$F$4:$F161,"open"))</f>
        <v/>
      </c>
      <c r="J161" s="12" t="n"/>
    </row>
    <row r="162" ht="15" customHeight="1" s="23">
      <c r="A162" s="11" t="n"/>
      <c r="B162" s="12" t="n"/>
      <c r="C162" s="12" t="n"/>
      <c r="D162" s="13" t="n"/>
      <c r="E162" s="14" t="n"/>
      <c r="F162" s="12" t="n"/>
      <c r="G162" s="15">
        <f>IF($A162="","",IF($F162="won",$E162*$D162,IF($F162="void",$E162,0)))</f>
        <v/>
      </c>
      <c r="H162" s="15">
        <f>IF($A162="","",IF(OR($F162="open",$F162=""),0,$G162-$E162))</f>
        <v/>
      </c>
      <c r="I162" s="15">
        <f>IF($A162="","",$H$1+SUM($H$4:$H162)-SUMIFS($E$4:$E162,$F$4:$F162,"open"))</f>
        <v/>
      </c>
      <c r="J162" s="12" t="n"/>
    </row>
    <row r="163" ht="15" customHeight="1" s="23">
      <c r="A163" s="11" t="n"/>
      <c r="B163" s="12" t="n"/>
      <c r="C163" s="12" t="n"/>
      <c r="D163" s="13" t="n"/>
      <c r="E163" s="14" t="n"/>
      <c r="F163" s="12" t="n"/>
      <c r="G163" s="15">
        <f>IF($A163="","",IF($F163="won",$E163*$D163,IF($F163="void",$E163,0)))</f>
        <v/>
      </c>
      <c r="H163" s="15">
        <f>IF($A163="","",IF(OR($F163="open",$F163=""),0,$G163-$E163))</f>
        <v/>
      </c>
      <c r="I163" s="15">
        <f>IF($A163="","",$H$1+SUM($H$4:$H163)-SUMIFS($E$4:$E163,$F$4:$F163,"open"))</f>
        <v/>
      </c>
      <c r="J163" s="12" t="n"/>
    </row>
    <row r="164" ht="15" customHeight="1" s="23">
      <c r="A164" s="11" t="n"/>
      <c r="B164" s="12" t="n"/>
      <c r="C164" s="12" t="n"/>
      <c r="D164" s="13" t="n"/>
      <c r="E164" s="14" t="n"/>
      <c r="F164" s="12" t="n"/>
      <c r="G164" s="15">
        <f>IF($A164="","",IF($F164="won",$E164*$D164,IF($F164="void",$E164,0)))</f>
        <v/>
      </c>
      <c r="H164" s="15">
        <f>IF($A164="","",IF(OR($F164="open",$F164=""),0,$G164-$E164))</f>
        <v/>
      </c>
      <c r="I164" s="15">
        <f>IF($A164="","",$H$1+SUM($H$4:$H164)-SUMIFS($E$4:$E164,$F$4:$F164,"open"))</f>
        <v/>
      </c>
      <c r="J164" s="12" t="n"/>
    </row>
    <row r="165" ht="15" customHeight="1" s="23">
      <c r="A165" s="11" t="n"/>
      <c r="B165" s="12" t="n"/>
      <c r="C165" s="12" t="n"/>
      <c r="D165" s="13" t="n"/>
      <c r="E165" s="14" t="n"/>
      <c r="F165" s="12" t="n"/>
      <c r="G165" s="15">
        <f>IF($A165="","",IF($F165="won",$E165*$D165,IF($F165="void",$E165,0)))</f>
        <v/>
      </c>
      <c r="H165" s="15">
        <f>IF($A165="","",IF(OR($F165="open",$F165=""),0,$G165-$E165))</f>
        <v/>
      </c>
      <c r="I165" s="15">
        <f>IF($A165="","",$H$1+SUM($H$4:$H165)-SUMIFS($E$4:$E165,$F$4:$F165,"open"))</f>
        <v/>
      </c>
      <c r="J165" s="12" t="n"/>
    </row>
    <row r="166" ht="15" customHeight="1" s="23">
      <c r="A166" s="11" t="n"/>
      <c r="B166" s="12" t="n"/>
      <c r="C166" s="12" t="n"/>
      <c r="D166" s="13" t="n"/>
      <c r="E166" s="14" t="n"/>
      <c r="F166" s="12" t="n"/>
      <c r="G166" s="15">
        <f>IF($A166="","",IF($F166="won",$E166*$D166,IF($F166="void",$E166,0)))</f>
        <v/>
      </c>
      <c r="H166" s="15">
        <f>IF($A166="","",IF(OR($F166="open",$F166=""),0,$G166-$E166))</f>
        <v/>
      </c>
      <c r="I166" s="15">
        <f>IF($A166="","",$H$1+SUM($H$4:$H166)-SUMIFS($E$4:$E166,$F$4:$F166,"open"))</f>
        <v/>
      </c>
      <c r="J166" s="12" t="n"/>
    </row>
    <row r="167" ht="15" customHeight="1" s="23">
      <c r="A167" s="11" t="n"/>
      <c r="B167" s="12" t="n"/>
      <c r="C167" s="12" t="n"/>
      <c r="D167" s="13" t="n"/>
      <c r="E167" s="14" t="n"/>
      <c r="F167" s="12" t="n"/>
      <c r="G167" s="15">
        <f>IF($A167="","",IF($F167="won",$E167*$D167,IF($F167="void",$E167,0)))</f>
        <v/>
      </c>
      <c r="H167" s="15">
        <f>IF($A167="","",IF(OR($F167="open",$F167=""),0,$G167-$E167))</f>
        <v/>
      </c>
      <c r="I167" s="15">
        <f>IF($A167="","",$H$1+SUM($H$4:$H167)-SUMIFS($E$4:$E167,$F$4:$F167,"open"))</f>
        <v/>
      </c>
      <c r="J167" s="12" t="n"/>
    </row>
    <row r="168" ht="15" customHeight="1" s="23">
      <c r="A168" s="11" t="n"/>
      <c r="B168" s="12" t="n"/>
      <c r="C168" s="12" t="n"/>
      <c r="D168" s="13" t="n"/>
      <c r="E168" s="14" t="n"/>
      <c r="F168" s="12" t="n"/>
      <c r="G168" s="15">
        <f>IF($A168="","",IF($F168="won",$E168*$D168,IF($F168="void",$E168,0)))</f>
        <v/>
      </c>
      <c r="H168" s="15">
        <f>IF($A168="","",IF(OR($F168="open",$F168=""),0,$G168-$E168))</f>
        <v/>
      </c>
      <c r="I168" s="15">
        <f>IF($A168="","",$H$1+SUM($H$4:$H168)-SUMIFS($E$4:$E168,$F$4:$F168,"open"))</f>
        <v/>
      </c>
      <c r="J168" s="12" t="n"/>
    </row>
    <row r="169" ht="15" customHeight="1" s="23">
      <c r="A169" s="11" t="n"/>
      <c r="B169" s="12" t="n"/>
      <c r="C169" s="12" t="n"/>
      <c r="D169" s="13" t="n"/>
      <c r="E169" s="14" t="n"/>
      <c r="F169" s="12" t="n"/>
      <c r="G169" s="15">
        <f>IF($A169="","",IF($F169="won",$E169*$D169,IF($F169="void",$E169,0)))</f>
        <v/>
      </c>
      <c r="H169" s="15">
        <f>IF($A169="","",IF(OR($F169="open",$F169=""),0,$G169-$E169))</f>
        <v/>
      </c>
      <c r="I169" s="15">
        <f>IF($A169="","",$H$1+SUM($H$4:$H169)-SUMIFS($E$4:$E169,$F$4:$F169,"open"))</f>
        <v/>
      </c>
      <c r="J169" s="12" t="n"/>
    </row>
    <row r="170" ht="15" customHeight="1" s="23">
      <c r="A170" s="11" t="n"/>
      <c r="B170" s="12" t="n"/>
      <c r="C170" s="12" t="n"/>
      <c r="D170" s="13" t="n"/>
      <c r="E170" s="14" t="n"/>
      <c r="F170" s="12" t="n"/>
      <c r="G170" s="15">
        <f>IF($A170="","",IF($F170="won",$E170*$D170,IF($F170="void",$E170,0)))</f>
        <v/>
      </c>
      <c r="H170" s="15">
        <f>IF($A170="","",IF(OR($F170="open",$F170=""),0,$G170-$E170))</f>
        <v/>
      </c>
      <c r="I170" s="15">
        <f>IF($A170="","",$H$1+SUM($H$4:$H170)-SUMIFS($E$4:$E170,$F$4:$F170,"open"))</f>
        <v/>
      </c>
      <c r="J170" s="12" t="n"/>
    </row>
    <row r="171" ht="15" customHeight="1" s="23">
      <c r="A171" s="11" t="n"/>
      <c r="B171" s="12" t="n"/>
      <c r="C171" s="12" t="n"/>
      <c r="D171" s="13" t="n"/>
      <c r="E171" s="14" t="n"/>
      <c r="F171" s="12" t="n"/>
      <c r="G171" s="15">
        <f>IF($A171="","",IF($F171="won",$E171*$D171,IF($F171="void",$E171,0)))</f>
        <v/>
      </c>
      <c r="H171" s="15">
        <f>IF($A171="","",IF(OR($F171="open",$F171=""),0,$G171-$E171))</f>
        <v/>
      </c>
      <c r="I171" s="15">
        <f>IF($A171="","",$H$1+SUM($H$4:$H171)-SUMIFS($E$4:$E171,$F$4:$F171,"open"))</f>
        <v/>
      </c>
      <c r="J171" s="12" t="n"/>
    </row>
    <row r="172" ht="15" customHeight="1" s="23">
      <c r="A172" s="11" t="n"/>
      <c r="B172" s="12" t="n"/>
      <c r="C172" s="12" t="n"/>
      <c r="D172" s="13" t="n"/>
      <c r="E172" s="14" t="n"/>
      <c r="F172" s="12" t="n"/>
      <c r="G172" s="15">
        <f>IF($A172="","",IF($F172="won",$E172*$D172,IF($F172="void",$E172,0)))</f>
        <v/>
      </c>
      <c r="H172" s="15">
        <f>IF($A172="","",IF(OR($F172="open",$F172=""),0,$G172-$E172))</f>
        <v/>
      </c>
      <c r="I172" s="15">
        <f>IF($A172="","",$H$1+SUM($H$4:$H172)-SUMIFS($E$4:$E172,$F$4:$F172,"open"))</f>
        <v/>
      </c>
      <c r="J172" s="12" t="n"/>
    </row>
    <row r="173" ht="15" customHeight="1" s="23">
      <c r="A173" s="11" t="n"/>
      <c r="B173" s="12" t="n"/>
      <c r="C173" s="12" t="n"/>
      <c r="D173" s="13" t="n"/>
      <c r="E173" s="14" t="n"/>
      <c r="F173" s="12" t="n"/>
      <c r="G173" s="15">
        <f>IF($A173="","",IF($F173="won",$E173*$D173,IF($F173="void",$E173,0)))</f>
        <v/>
      </c>
      <c r="H173" s="15">
        <f>IF($A173="","",IF(OR($F173="open",$F173=""),0,$G173-$E173))</f>
        <v/>
      </c>
      <c r="I173" s="15">
        <f>IF($A173="","",$H$1+SUM($H$4:$H173)-SUMIFS($E$4:$E173,$F$4:$F173,"open"))</f>
        <v/>
      </c>
      <c r="J173" s="12" t="n"/>
    </row>
    <row r="174" ht="15" customHeight="1" s="23">
      <c r="A174" s="11" t="n"/>
      <c r="B174" s="12" t="n"/>
      <c r="C174" s="12" t="n"/>
      <c r="D174" s="13" t="n"/>
      <c r="E174" s="14" t="n"/>
      <c r="F174" s="12" t="n"/>
      <c r="G174" s="15">
        <f>IF($A174="","",IF($F174="won",$E174*$D174,IF($F174="void",$E174,0)))</f>
        <v/>
      </c>
      <c r="H174" s="15">
        <f>IF($A174="","",IF(OR($F174="open",$F174=""),0,$G174-$E174))</f>
        <v/>
      </c>
      <c r="I174" s="15">
        <f>IF($A174="","",$H$1+SUM($H$4:$H174)-SUMIFS($E$4:$E174,$F$4:$F174,"open"))</f>
        <v/>
      </c>
      <c r="J174" s="12" t="n"/>
    </row>
    <row r="175" ht="15" customHeight="1" s="23">
      <c r="A175" s="11" t="n"/>
      <c r="B175" s="12" t="n"/>
      <c r="C175" s="12" t="n"/>
      <c r="D175" s="13" t="n"/>
      <c r="E175" s="14" t="n"/>
      <c r="F175" s="12" t="n"/>
      <c r="G175" s="15">
        <f>IF($A175="","",IF($F175="won",$E175*$D175,IF($F175="void",$E175,0)))</f>
        <v/>
      </c>
      <c r="H175" s="15">
        <f>IF($A175="","",IF(OR($F175="open",$F175=""),0,$G175-$E175))</f>
        <v/>
      </c>
      <c r="I175" s="15">
        <f>IF($A175="","",$H$1+SUM($H$4:$H175)-SUMIFS($E$4:$E175,$F$4:$F175,"open"))</f>
        <v/>
      </c>
      <c r="J175" s="12" t="n"/>
    </row>
    <row r="176" ht="15" customHeight="1" s="23">
      <c r="A176" s="11" t="n"/>
      <c r="B176" s="12" t="n"/>
      <c r="C176" s="12" t="n"/>
      <c r="D176" s="13" t="n"/>
      <c r="E176" s="14" t="n"/>
      <c r="F176" s="12" t="n"/>
      <c r="G176" s="15">
        <f>IF($A176="","",IF($F176="won",$E176*$D176,IF($F176="void",$E176,0)))</f>
        <v/>
      </c>
      <c r="H176" s="15">
        <f>IF($A176="","",IF(OR($F176="open",$F176=""),0,$G176-$E176))</f>
        <v/>
      </c>
      <c r="I176" s="15">
        <f>IF($A176="","",$H$1+SUM($H$4:$H176)-SUMIFS($E$4:$E176,$F$4:$F176,"open"))</f>
        <v/>
      </c>
      <c r="J176" s="12" t="n"/>
    </row>
    <row r="177" ht="15" customHeight="1" s="23">
      <c r="A177" s="11" t="n"/>
      <c r="B177" s="12" t="n"/>
      <c r="C177" s="12" t="n"/>
      <c r="D177" s="13" t="n"/>
      <c r="E177" s="14" t="n"/>
      <c r="F177" s="12" t="n"/>
      <c r="G177" s="15">
        <f>IF($A177="","",IF($F177="won",$E177*$D177,IF($F177="void",$E177,0)))</f>
        <v/>
      </c>
      <c r="H177" s="15">
        <f>IF($A177="","",IF(OR($F177="open",$F177=""),0,$G177-$E177))</f>
        <v/>
      </c>
      <c r="I177" s="15">
        <f>IF($A177="","",$H$1+SUM($H$4:$H177)-SUMIFS($E$4:$E177,$F$4:$F177,"open"))</f>
        <v/>
      </c>
      <c r="J177" s="12" t="n"/>
    </row>
    <row r="178" ht="15" customHeight="1" s="23">
      <c r="A178" s="11" t="n"/>
      <c r="B178" s="12" t="n"/>
      <c r="C178" s="12" t="n"/>
      <c r="D178" s="13" t="n"/>
      <c r="E178" s="14" t="n"/>
      <c r="F178" s="12" t="n"/>
      <c r="G178" s="15">
        <f>IF($A178="","",IF($F178="won",$E178*$D178,IF($F178="void",$E178,0)))</f>
        <v/>
      </c>
      <c r="H178" s="15">
        <f>IF($A178="","",IF(OR($F178="open",$F178=""),0,$G178-$E178))</f>
        <v/>
      </c>
      <c r="I178" s="15">
        <f>IF($A178="","",$H$1+SUM($H$4:$H178)-SUMIFS($E$4:$E178,$F$4:$F178,"open"))</f>
        <v/>
      </c>
      <c r="J178" s="12" t="n"/>
    </row>
    <row r="179" ht="15" customHeight="1" s="23">
      <c r="A179" s="11" t="n"/>
      <c r="B179" s="12" t="n"/>
      <c r="C179" s="12" t="n"/>
      <c r="D179" s="13" t="n"/>
      <c r="E179" s="14" t="n"/>
      <c r="F179" s="12" t="n"/>
      <c r="G179" s="15">
        <f>IF($A179="","",IF($F179="won",$E179*$D179,IF($F179="void",$E179,0)))</f>
        <v/>
      </c>
      <c r="H179" s="15">
        <f>IF($A179="","",IF(OR($F179="open",$F179=""),0,$G179-$E179))</f>
        <v/>
      </c>
      <c r="I179" s="15">
        <f>IF($A179="","",$H$1+SUM($H$4:$H179)-SUMIFS($E$4:$E179,$F$4:$F179,"open"))</f>
        <v/>
      </c>
      <c r="J179" s="12" t="n"/>
    </row>
    <row r="180" ht="15" customHeight="1" s="23">
      <c r="A180" s="11" t="n"/>
      <c r="B180" s="12" t="n"/>
      <c r="C180" s="12" t="n"/>
      <c r="D180" s="13" t="n"/>
      <c r="E180" s="14" t="n"/>
      <c r="F180" s="12" t="n"/>
      <c r="G180" s="15">
        <f>IF($A180="","",IF($F180="won",$E180*$D180,IF($F180="void",$E180,0)))</f>
        <v/>
      </c>
      <c r="H180" s="15">
        <f>IF($A180="","",IF(OR($F180="open",$F180=""),0,$G180-$E180))</f>
        <v/>
      </c>
      <c r="I180" s="15">
        <f>IF($A180="","",$H$1+SUM($H$4:$H180)-SUMIFS($E$4:$E180,$F$4:$F180,"open"))</f>
        <v/>
      </c>
      <c r="J180" s="12" t="n"/>
    </row>
    <row r="181" ht="15" customHeight="1" s="23">
      <c r="A181" s="11" t="n"/>
      <c r="B181" s="12" t="n"/>
      <c r="C181" s="12" t="n"/>
      <c r="D181" s="13" t="n"/>
      <c r="E181" s="14" t="n"/>
      <c r="F181" s="12" t="n"/>
      <c r="G181" s="15">
        <f>IF($A181="","",IF($F181="won",$E181*$D181,IF($F181="void",$E181,0)))</f>
        <v/>
      </c>
      <c r="H181" s="15">
        <f>IF($A181="","",IF(OR($F181="open",$F181=""),0,$G181-$E181))</f>
        <v/>
      </c>
      <c r="I181" s="15">
        <f>IF($A181="","",$H$1+SUM($H$4:$H181)-SUMIFS($E$4:$E181,$F$4:$F181,"open"))</f>
        <v/>
      </c>
      <c r="J181" s="12" t="n"/>
    </row>
    <row r="182" ht="15" customHeight="1" s="23">
      <c r="A182" s="11" t="n"/>
      <c r="B182" s="12" t="n"/>
      <c r="C182" s="12" t="n"/>
      <c r="D182" s="13" t="n"/>
      <c r="E182" s="14" t="n"/>
      <c r="F182" s="12" t="n"/>
      <c r="G182" s="15">
        <f>IF($A182="","",IF($F182="won",$E182*$D182,IF($F182="void",$E182,0)))</f>
        <v/>
      </c>
      <c r="H182" s="15">
        <f>IF($A182="","",IF(OR($F182="open",$F182=""),0,$G182-$E182))</f>
        <v/>
      </c>
      <c r="I182" s="15">
        <f>IF($A182="","",$H$1+SUM($H$4:$H182)-SUMIFS($E$4:$E182,$F$4:$F182,"open"))</f>
        <v/>
      </c>
      <c r="J182" s="12" t="n"/>
    </row>
    <row r="183" ht="15" customHeight="1" s="23">
      <c r="A183" s="11" t="n"/>
      <c r="B183" s="12" t="n"/>
      <c r="C183" s="12" t="n"/>
      <c r="D183" s="13" t="n"/>
      <c r="E183" s="14" t="n"/>
      <c r="F183" s="12" t="n"/>
      <c r="G183" s="15">
        <f>IF($A183="","",IF($F183="won",$E183*$D183,IF($F183="void",$E183,0)))</f>
        <v/>
      </c>
      <c r="H183" s="15">
        <f>IF($A183="","",IF(OR($F183="open",$F183=""),0,$G183-$E183))</f>
        <v/>
      </c>
      <c r="I183" s="15">
        <f>IF($A183="","",$H$1+SUM($H$4:$H183)-SUMIFS($E$4:$E183,$F$4:$F183,"open"))</f>
        <v/>
      </c>
      <c r="J183" s="12" t="n"/>
    </row>
    <row r="184" ht="15" customHeight="1" s="23">
      <c r="A184" s="11" t="n"/>
      <c r="B184" s="12" t="n"/>
      <c r="C184" s="12" t="n"/>
      <c r="D184" s="13" t="n"/>
      <c r="E184" s="14" t="n"/>
      <c r="F184" s="12" t="n"/>
      <c r="G184" s="15">
        <f>IF($A184="","",IF($F184="won",$E184*$D184,IF($F184="void",$E184,0)))</f>
        <v/>
      </c>
      <c r="H184" s="15">
        <f>IF($A184="","",IF(OR($F184="open",$F184=""),0,$G184-$E184))</f>
        <v/>
      </c>
      <c r="I184" s="15">
        <f>IF($A184="","",$H$1+SUM($H$4:$H184)-SUMIFS($E$4:$E184,$F$4:$F184,"open"))</f>
        <v/>
      </c>
      <c r="J184" s="12" t="n"/>
    </row>
    <row r="185" ht="15" customHeight="1" s="23">
      <c r="A185" s="11" t="n"/>
      <c r="B185" s="12" t="n"/>
      <c r="C185" s="12" t="n"/>
      <c r="D185" s="13" t="n"/>
      <c r="E185" s="14" t="n"/>
      <c r="F185" s="12" t="n"/>
      <c r="G185" s="15">
        <f>IF($A185="","",IF($F185="won",$E185*$D185,IF($F185="void",$E185,0)))</f>
        <v/>
      </c>
      <c r="H185" s="15">
        <f>IF($A185="","",IF(OR($F185="open",$F185=""),0,$G185-$E185))</f>
        <v/>
      </c>
      <c r="I185" s="15">
        <f>IF($A185="","",$H$1+SUM($H$4:$H185)-SUMIFS($E$4:$E185,$F$4:$F185,"open"))</f>
        <v/>
      </c>
      <c r="J185" s="12" t="n"/>
    </row>
    <row r="186" ht="15" customHeight="1" s="23">
      <c r="A186" s="11" t="n"/>
      <c r="B186" s="12" t="n"/>
      <c r="C186" s="12" t="n"/>
      <c r="D186" s="13" t="n"/>
      <c r="E186" s="14" t="n"/>
      <c r="F186" s="12" t="n"/>
      <c r="G186" s="15">
        <f>IF($A186="","",IF($F186="won",$E186*$D186,IF($F186="void",$E186,0)))</f>
        <v/>
      </c>
      <c r="H186" s="15">
        <f>IF($A186="","",IF(OR($F186="open",$F186=""),0,$G186-$E186))</f>
        <v/>
      </c>
      <c r="I186" s="15">
        <f>IF($A186="","",$H$1+SUM($H$4:$H186)-SUMIFS($E$4:$E186,$F$4:$F186,"open"))</f>
        <v/>
      </c>
      <c r="J186" s="12" t="n"/>
    </row>
    <row r="187" ht="15" customHeight="1" s="23">
      <c r="A187" s="11" t="n"/>
      <c r="B187" s="12" t="n"/>
      <c r="C187" s="12" t="n"/>
      <c r="D187" s="13" t="n"/>
      <c r="E187" s="14" t="n"/>
      <c r="F187" s="12" t="n"/>
      <c r="G187" s="15">
        <f>IF($A187="","",IF($F187="won",$E187*$D187,IF($F187="void",$E187,0)))</f>
        <v/>
      </c>
      <c r="H187" s="15">
        <f>IF($A187="","",IF(OR($F187="open",$F187=""),0,$G187-$E187))</f>
        <v/>
      </c>
      <c r="I187" s="15">
        <f>IF($A187="","",$H$1+SUM($H$4:$H187)-SUMIFS($E$4:$E187,$F$4:$F187,"open"))</f>
        <v/>
      </c>
      <c r="J187" s="12" t="n"/>
    </row>
    <row r="188" ht="15" customHeight="1" s="23">
      <c r="A188" s="11" t="n"/>
      <c r="B188" s="12" t="n"/>
      <c r="C188" s="12" t="n"/>
      <c r="D188" s="13" t="n"/>
      <c r="E188" s="14" t="n"/>
      <c r="F188" s="12" t="n"/>
      <c r="G188" s="15">
        <f>IF($A188="","",IF($F188="won",$E188*$D188,IF($F188="void",$E188,0)))</f>
        <v/>
      </c>
      <c r="H188" s="15">
        <f>IF($A188="","",IF(OR($F188="open",$F188=""),0,$G188-$E188))</f>
        <v/>
      </c>
      <c r="I188" s="15">
        <f>IF($A188="","",$H$1+SUM($H$4:$H188)-SUMIFS($E$4:$E188,$F$4:$F188,"open"))</f>
        <v/>
      </c>
      <c r="J188" s="12" t="n"/>
    </row>
    <row r="189" ht="15" customHeight="1" s="23">
      <c r="A189" s="11" t="n"/>
      <c r="B189" s="12" t="n"/>
      <c r="C189" s="12" t="n"/>
      <c r="D189" s="13" t="n"/>
      <c r="E189" s="14" t="n"/>
      <c r="F189" s="12" t="n"/>
      <c r="G189" s="15">
        <f>IF($A189="","",IF($F189="won",$E189*$D189,IF($F189="void",$E189,0)))</f>
        <v/>
      </c>
      <c r="H189" s="15">
        <f>IF($A189="","",IF(OR($F189="open",$F189=""),0,$G189-$E189))</f>
        <v/>
      </c>
      <c r="I189" s="15">
        <f>IF($A189="","",$H$1+SUM($H$4:$H189)-SUMIFS($E$4:$E189,$F$4:$F189,"open"))</f>
        <v/>
      </c>
      <c r="J189" s="12" t="n"/>
    </row>
    <row r="190" ht="15" customHeight="1" s="23">
      <c r="A190" s="11" t="n"/>
      <c r="B190" s="12" t="n"/>
      <c r="C190" s="12" t="n"/>
      <c r="D190" s="13" t="n"/>
      <c r="E190" s="14" t="n"/>
      <c r="F190" s="12" t="n"/>
      <c r="G190" s="15">
        <f>IF($A190="","",IF($F190="won",$E190*$D190,IF($F190="void",$E190,0)))</f>
        <v/>
      </c>
      <c r="H190" s="15">
        <f>IF($A190="","",IF(OR($F190="open",$F190=""),0,$G190-$E190))</f>
        <v/>
      </c>
      <c r="I190" s="15">
        <f>IF($A190="","",$H$1+SUM($H$4:$H190)-SUMIFS($E$4:$E190,$F$4:$F190,"open"))</f>
        <v/>
      </c>
      <c r="J190" s="12" t="n"/>
    </row>
    <row r="191" ht="15" customHeight="1" s="23">
      <c r="A191" s="11" t="n"/>
      <c r="B191" s="12" t="n"/>
      <c r="C191" s="12" t="n"/>
      <c r="D191" s="13" t="n"/>
      <c r="E191" s="14" t="n"/>
      <c r="F191" s="12" t="n"/>
      <c r="G191" s="15">
        <f>IF($A191="","",IF($F191="won",$E191*$D191,IF($F191="void",$E191,0)))</f>
        <v/>
      </c>
      <c r="H191" s="15">
        <f>IF($A191="","",IF(OR($F191="open",$F191=""),0,$G191-$E191))</f>
        <v/>
      </c>
      <c r="I191" s="15">
        <f>IF($A191="","",$H$1+SUM($H$4:$H191)-SUMIFS($E$4:$E191,$F$4:$F191,"open"))</f>
        <v/>
      </c>
      <c r="J191" s="12" t="n"/>
    </row>
    <row r="192" ht="15" customHeight="1" s="23">
      <c r="A192" s="11" t="n"/>
      <c r="B192" s="12" t="n"/>
      <c r="C192" s="12" t="n"/>
      <c r="D192" s="13" t="n"/>
      <c r="E192" s="14" t="n"/>
      <c r="F192" s="12" t="n"/>
      <c r="G192" s="15">
        <f>IF($A192="","",IF($F192="won",$E192*$D192,IF($F192="void",$E192,0)))</f>
        <v/>
      </c>
      <c r="H192" s="15">
        <f>IF($A192="","",IF(OR($F192="open",$F192=""),0,$G192-$E192))</f>
        <v/>
      </c>
      <c r="I192" s="15">
        <f>IF($A192="","",$H$1+SUM($H$4:$H192)-SUMIFS($E$4:$E192,$F$4:$F192,"open"))</f>
        <v/>
      </c>
      <c r="J192" s="12" t="n"/>
    </row>
    <row r="193" ht="15" customHeight="1" s="23">
      <c r="A193" s="11" t="n"/>
      <c r="B193" s="12" t="n"/>
      <c r="C193" s="12" t="n"/>
      <c r="D193" s="13" t="n"/>
      <c r="E193" s="14" t="n"/>
      <c r="F193" s="12" t="n"/>
      <c r="G193" s="15">
        <f>IF($A193="","",IF($F193="won",$E193*$D193,IF($F193="void",$E193,0)))</f>
        <v/>
      </c>
      <c r="H193" s="15">
        <f>IF($A193="","",IF(OR($F193="open",$F193=""),0,$G193-$E193))</f>
        <v/>
      </c>
      <c r="I193" s="15">
        <f>IF($A193="","",$H$1+SUM($H$4:$H193)-SUMIFS($E$4:$E193,$F$4:$F193,"open"))</f>
        <v/>
      </c>
      <c r="J193" s="12" t="n"/>
    </row>
    <row r="194" ht="15" customHeight="1" s="23">
      <c r="A194" s="11" t="n"/>
      <c r="B194" s="12" t="n"/>
      <c r="C194" s="12" t="n"/>
      <c r="D194" s="13" t="n"/>
      <c r="E194" s="14" t="n"/>
      <c r="F194" s="12" t="n"/>
      <c r="G194" s="15">
        <f>IF($A194="","",IF($F194="won",$E194*$D194,IF($F194="void",$E194,0)))</f>
        <v/>
      </c>
      <c r="H194" s="15">
        <f>IF($A194="","",IF(OR($F194="open",$F194=""),0,$G194-$E194))</f>
        <v/>
      </c>
      <c r="I194" s="15">
        <f>IF($A194="","",$H$1+SUM($H$4:$H194)-SUMIFS($E$4:$E194,$F$4:$F194,"open"))</f>
        <v/>
      </c>
      <c r="J194" s="12" t="n"/>
    </row>
    <row r="195" ht="15" customHeight="1" s="23">
      <c r="A195" s="11" t="n"/>
      <c r="B195" s="12" t="n"/>
      <c r="C195" s="12" t="n"/>
      <c r="D195" s="13" t="n"/>
      <c r="E195" s="14" t="n"/>
      <c r="F195" s="12" t="n"/>
      <c r="G195" s="15">
        <f>IF($A195="","",IF($F195="won",$E195*$D195,IF($F195="void",$E195,0)))</f>
        <v/>
      </c>
      <c r="H195" s="15">
        <f>IF($A195="","",IF(OR($F195="open",$F195=""),0,$G195-$E195))</f>
        <v/>
      </c>
      <c r="I195" s="15">
        <f>IF($A195="","",$H$1+SUM($H$4:$H195)-SUMIFS($E$4:$E195,$F$4:$F195,"open"))</f>
        <v/>
      </c>
      <c r="J195" s="12" t="n"/>
    </row>
    <row r="196" ht="15" customHeight="1" s="23">
      <c r="A196" s="11" t="n"/>
      <c r="B196" s="12" t="n"/>
      <c r="C196" s="12" t="n"/>
      <c r="D196" s="13" t="n"/>
      <c r="E196" s="14" t="n"/>
      <c r="F196" s="12" t="n"/>
      <c r="G196" s="15">
        <f>IF($A196="","",IF($F196="won",$E196*$D196,IF($F196="void",$E196,0)))</f>
        <v/>
      </c>
      <c r="H196" s="15">
        <f>IF($A196="","",IF(OR($F196="open",$F196=""),0,$G196-$E196))</f>
        <v/>
      </c>
      <c r="I196" s="15">
        <f>IF($A196="","",$H$1+SUM($H$4:$H196)-SUMIFS($E$4:$E196,$F$4:$F196,"open"))</f>
        <v/>
      </c>
      <c r="J196" s="12" t="n"/>
    </row>
    <row r="197" ht="15" customHeight="1" s="23">
      <c r="A197" s="11" t="n"/>
      <c r="B197" s="12" t="n"/>
      <c r="C197" s="12" t="n"/>
      <c r="D197" s="13" t="n"/>
      <c r="E197" s="14" t="n"/>
      <c r="F197" s="12" t="n"/>
      <c r="G197" s="15">
        <f>IF($A197="","",IF($F197="won",$E197*$D197,IF($F197="void",$E197,0)))</f>
        <v/>
      </c>
      <c r="H197" s="15">
        <f>IF($A197="","",IF(OR($F197="open",$F197=""),0,$G197-$E197))</f>
        <v/>
      </c>
      <c r="I197" s="15">
        <f>IF($A197="","",$H$1+SUM($H$4:$H197)-SUMIFS($E$4:$E197,$F$4:$F197,"open"))</f>
        <v/>
      </c>
      <c r="J197" s="12" t="n"/>
    </row>
    <row r="198" ht="15" customHeight="1" s="23">
      <c r="A198" s="11" t="n"/>
      <c r="B198" s="12" t="n"/>
      <c r="C198" s="12" t="n"/>
      <c r="D198" s="13" t="n"/>
      <c r="E198" s="14" t="n"/>
      <c r="F198" s="12" t="n"/>
      <c r="G198" s="15">
        <f>IF($A198="","",IF($F198="won",$E198*$D198,IF($F198="void",$E198,0)))</f>
        <v/>
      </c>
      <c r="H198" s="15">
        <f>IF($A198="","",IF(OR($F198="open",$F198=""),0,$G198-$E198))</f>
        <v/>
      </c>
      <c r="I198" s="15">
        <f>IF($A198="","",$H$1+SUM($H$4:$H198)-SUMIFS($E$4:$E198,$F$4:$F198,"open"))</f>
        <v/>
      </c>
      <c r="J198" s="12" t="n"/>
    </row>
    <row r="199" ht="15" customHeight="1" s="23">
      <c r="A199" s="11" t="n"/>
      <c r="B199" s="12" t="n"/>
      <c r="C199" s="12" t="n"/>
      <c r="D199" s="13" t="n"/>
      <c r="E199" s="14" t="n"/>
      <c r="F199" s="12" t="n"/>
      <c r="G199" s="15">
        <f>IF($A199="","",IF($F199="won",$E199*$D199,IF($F199="void",$E199,0)))</f>
        <v/>
      </c>
      <c r="H199" s="15">
        <f>IF($A199="","",IF(OR($F199="open",$F199=""),0,$G199-$E199))</f>
        <v/>
      </c>
      <c r="I199" s="15">
        <f>IF($A199="","",$H$1+SUM($H$4:$H199)-SUMIFS($E$4:$E199,$F$4:$F199,"open"))</f>
        <v/>
      </c>
      <c r="J199" s="12" t="n"/>
    </row>
    <row r="200" ht="15" customHeight="1" s="23">
      <c r="A200" s="11" t="n"/>
      <c r="B200" s="12" t="n"/>
      <c r="C200" s="12" t="n"/>
      <c r="D200" s="13" t="n"/>
      <c r="E200" s="14" t="n"/>
      <c r="F200" s="12" t="n"/>
      <c r="G200" s="15">
        <f>IF($A200="","",IF($F200="won",$E200*$D200,IF($F200="void",$E200,0)))</f>
        <v/>
      </c>
      <c r="H200" s="15">
        <f>IF($A200="","",IF(OR($F200="open",$F200=""),0,$G200-$E200))</f>
        <v/>
      </c>
      <c r="I200" s="15">
        <f>IF($A200="","",$H$1+SUM($H$4:$H200)-SUMIFS($E$4:$E200,$F$4:$F200,"open"))</f>
        <v/>
      </c>
      <c r="J200" s="12" t="n"/>
    </row>
    <row r="201" ht="15" customHeight="1" s="23">
      <c r="A201" s="11" t="n"/>
      <c r="B201" s="12" t="n"/>
      <c r="C201" s="12" t="n"/>
      <c r="D201" s="13" t="n"/>
      <c r="E201" s="14" t="n"/>
      <c r="F201" s="12" t="n"/>
      <c r="G201" s="15">
        <f>IF($A201="","",IF($F201="won",$E201*$D201,IF($F201="void",$E201,0)))</f>
        <v/>
      </c>
      <c r="H201" s="15">
        <f>IF($A201="","",IF(OR($F201="open",$F201=""),0,$G201-$E201))</f>
        <v/>
      </c>
      <c r="I201" s="15">
        <f>IF($A201="","",$H$1+SUM($H$4:$H201)-SUMIFS($E$4:$E201,$F$4:$F201,"open"))</f>
        <v/>
      </c>
      <c r="J201" s="12" t="n"/>
    </row>
    <row r="202" ht="15" customHeight="1" s="23">
      <c r="A202" s="11" t="n"/>
      <c r="B202" s="12" t="n"/>
      <c r="C202" s="12" t="n"/>
      <c r="D202" s="13" t="n"/>
      <c r="E202" s="14" t="n"/>
      <c r="F202" s="12" t="n"/>
      <c r="G202" s="15">
        <f>IF($A202="","",IF($F202="won",$E202*$D202,IF($F202="void",$E202,0)))</f>
        <v/>
      </c>
      <c r="H202" s="15">
        <f>IF($A202="","",IF(OR($F202="open",$F202=""),0,$G202-$E202))</f>
        <v/>
      </c>
      <c r="I202" s="15">
        <f>IF($A202="","",$H$1+SUM($H$4:$H202)-SUMIFS($E$4:$E202,$F$4:$F202,"open"))</f>
        <v/>
      </c>
      <c r="J202" s="12" t="n"/>
    </row>
    <row r="203" ht="15" customHeight="1" s="23">
      <c r="A203" s="11" t="n"/>
      <c r="B203" s="12" t="n"/>
      <c r="C203" s="12" t="n"/>
      <c r="D203" s="13" t="n"/>
      <c r="E203" s="14" t="n"/>
      <c r="F203" s="12" t="n"/>
      <c r="G203" s="15">
        <f>IF($A203="","",IF($F203="won",$E203*$D203,IF($F203="void",$E203,0)))</f>
        <v/>
      </c>
      <c r="H203" s="15">
        <f>IF($A203="","",IF(OR($F203="open",$F203=""),0,$G203-$E203))</f>
        <v/>
      </c>
      <c r="I203" s="15">
        <f>IF($A203="","",$H$1+SUM($H$4:$H203)-SUMIFS($E$4:$E203,$F$4:$F203,"open"))</f>
        <v/>
      </c>
      <c r="J203" s="12" t="n"/>
    </row>
    <row r="204" ht="15" customHeight="1" s="23">
      <c r="A204" s="11" t="n"/>
      <c r="B204" s="12" t="n"/>
      <c r="C204" s="12" t="n"/>
      <c r="D204" s="13" t="n"/>
      <c r="E204" s="14" t="n"/>
      <c r="F204" s="12" t="n"/>
      <c r="G204" s="15">
        <f>IF($A204="","",IF($F204="won",$E204*$D204,IF($F204="void",$E204,0)))</f>
        <v/>
      </c>
      <c r="H204" s="15">
        <f>IF($A204="","",IF(OR($F204="open",$F204=""),0,$G204-$E204))</f>
        <v/>
      </c>
      <c r="I204" s="15">
        <f>IF($A204="","",$H$1+SUM($H$4:$H204)-SUMIFS($E$4:$E204,$F$4:$F204,"open"))</f>
        <v/>
      </c>
      <c r="J204" s="12" t="n"/>
    </row>
    <row r="205" ht="15" customHeight="1" s="23">
      <c r="A205" s="11" t="n"/>
      <c r="B205" s="12" t="n"/>
      <c r="C205" s="12" t="n"/>
      <c r="D205" s="13" t="n"/>
      <c r="E205" s="14" t="n"/>
      <c r="F205" s="12" t="n"/>
      <c r="G205" s="15">
        <f>IF($A205="","",IF($F205="won",$E205*$D205,IF($F205="void",$E205,0)))</f>
        <v/>
      </c>
      <c r="H205" s="15">
        <f>IF($A205="","",IF(OR($F205="open",$F205=""),0,$G205-$E205))</f>
        <v/>
      </c>
      <c r="I205" s="15">
        <f>IF($A205="","",$H$1+SUM($H$4:$H205)-SUMIFS($E$4:$E205,$F$4:$F205,"open"))</f>
        <v/>
      </c>
      <c r="J205" s="12" t="n"/>
    </row>
    <row r="206" ht="15" customHeight="1" s="23">
      <c r="A206" s="11" t="n"/>
      <c r="B206" s="12" t="n"/>
      <c r="C206" s="12" t="n"/>
      <c r="D206" s="13" t="n"/>
      <c r="E206" s="14" t="n"/>
      <c r="F206" s="12" t="n"/>
      <c r="G206" s="15">
        <f>IF($A206="","",IF($F206="won",$E206*$D206,IF($F206="void",$E206,0)))</f>
        <v/>
      </c>
      <c r="H206" s="15">
        <f>IF($A206="","",IF(OR($F206="open",$F206=""),0,$G206-$E206))</f>
        <v/>
      </c>
      <c r="I206" s="15">
        <f>IF($A206="","",$H$1+SUM($H$4:$H206)-SUMIFS($E$4:$E206,$F$4:$F206,"open"))</f>
        <v/>
      </c>
      <c r="J206" s="12" t="n"/>
    </row>
    <row r="207" ht="15" customHeight="1" s="23">
      <c r="A207" s="11" t="n"/>
      <c r="B207" s="12" t="n"/>
      <c r="C207" s="12" t="n"/>
      <c r="D207" s="13" t="n"/>
      <c r="E207" s="14" t="n"/>
      <c r="F207" s="12" t="n"/>
      <c r="G207" s="15">
        <f>IF($A207="","",IF($F207="won",$E207*$D207,IF($F207="void",$E207,0)))</f>
        <v/>
      </c>
      <c r="H207" s="15">
        <f>IF($A207="","",IF(OR($F207="open",$F207=""),0,$G207-$E207))</f>
        <v/>
      </c>
      <c r="I207" s="15">
        <f>IF($A207="","",$H$1+SUM($H$4:$H207)-SUMIFS($E$4:$E207,$F$4:$F207,"open"))</f>
        <v/>
      </c>
      <c r="J207" s="12" t="n"/>
    </row>
    <row r="208" ht="15" customHeight="1" s="23">
      <c r="A208" s="11" t="n"/>
      <c r="B208" s="12" t="n"/>
      <c r="C208" s="12" t="n"/>
      <c r="D208" s="13" t="n"/>
      <c r="E208" s="14" t="n"/>
      <c r="F208" s="12" t="n"/>
      <c r="G208" s="15">
        <f>IF($A208="","",IF($F208="won",$E208*$D208,IF($F208="void",$E208,0)))</f>
        <v/>
      </c>
      <c r="H208" s="15">
        <f>IF($A208="","",IF(OR($F208="open",$F208=""),0,$G208-$E208))</f>
        <v/>
      </c>
      <c r="I208" s="15">
        <f>IF($A208="","",$H$1+SUM($H$4:$H208)-SUMIFS($E$4:$E208,$F$4:$F208,"open"))</f>
        <v/>
      </c>
      <c r="J208" s="12" t="n"/>
    </row>
    <row r="209" ht="15" customHeight="1" s="23">
      <c r="A209" s="11" t="n"/>
      <c r="B209" s="12" t="n"/>
      <c r="C209" s="12" t="n"/>
      <c r="D209" s="13" t="n"/>
      <c r="E209" s="14" t="n"/>
      <c r="F209" s="12" t="n"/>
      <c r="G209" s="15">
        <f>IF($A209="","",IF($F209="won",$E209*$D209,IF($F209="void",$E209,0)))</f>
        <v/>
      </c>
      <c r="H209" s="15">
        <f>IF($A209="","",IF(OR($F209="open",$F209=""),0,$G209-$E209))</f>
        <v/>
      </c>
      <c r="I209" s="15">
        <f>IF($A209="","",$H$1+SUM($H$4:$H209)-SUMIFS($E$4:$E209,$F$4:$F209,"open"))</f>
        <v/>
      </c>
      <c r="J209" s="12" t="n"/>
    </row>
    <row r="210" ht="15" customHeight="1" s="23">
      <c r="A210" s="11" t="n"/>
      <c r="B210" s="12" t="n"/>
      <c r="C210" s="12" t="n"/>
      <c r="D210" s="13" t="n"/>
      <c r="E210" s="14" t="n"/>
      <c r="F210" s="12" t="n"/>
      <c r="G210" s="15">
        <f>IF($A210="","",IF($F210="won",$E210*$D210,IF($F210="void",$E210,0)))</f>
        <v/>
      </c>
      <c r="H210" s="15">
        <f>IF($A210="","",IF(OR($F210="open",$F210=""),0,$G210-$E210))</f>
        <v/>
      </c>
      <c r="I210" s="15">
        <f>IF($A210="","",$H$1+SUM($H$4:$H210)-SUMIFS($E$4:$E210,$F$4:$F210,"open"))</f>
        <v/>
      </c>
      <c r="J210" s="12" t="n"/>
    </row>
    <row r="211" ht="15" customHeight="1" s="23">
      <c r="A211" s="11" t="n"/>
      <c r="B211" s="12" t="n"/>
      <c r="C211" s="12" t="n"/>
      <c r="D211" s="13" t="n"/>
      <c r="E211" s="14" t="n"/>
      <c r="F211" s="12" t="n"/>
      <c r="G211" s="15">
        <f>IF($A211="","",IF($F211="won",$E211*$D211,IF($F211="void",$E211,0)))</f>
        <v/>
      </c>
      <c r="H211" s="15">
        <f>IF($A211="","",IF(OR($F211="open",$F211=""),0,$G211-$E211))</f>
        <v/>
      </c>
      <c r="I211" s="15">
        <f>IF($A211="","",$H$1+SUM($H$4:$H211)-SUMIFS($E$4:$E211,$F$4:$F211,"open"))</f>
        <v/>
      </c>
      <c r="J211" s="12" t="n"/>
    </row>
    <row r="212" ht="15" customHeight="1" s="23">
      <c r="A212" s="11" t="n"/>
      <c r="B212" s="12" t="n"/>
      <c r="C212" s="12" t="n"/>
      <c r="D212" s="13" t="n"/>
      <c r="E212" s="14" t="n"/>
      <c r="F212" s="12" t="n"/>
      <c r="G212" s="15">
        <f>IF($A212="","",IF($F212="won",$E212*$D212,IF($F212="void",$E212,0)))</f>
        <v/>
      </c>
      <c r="H212" s="15">
        <f>IF($A212="","",IF(OR($F212="open",$F212=""),0,$G212-$E212))</f>
        <v/>
      </c>
      <c r="I212" s="15">
        <f>IF($A212="","",$H$1+SUM($H$4:$H212)-SUMIFS($E$4:$E212,$F$4:$F212,"open"))</f>
        <v/>
      </c>
      <c r="J212" s="12" t="n"/>
    </row>
    <row r="213" ht="15" customHeight="1" s="23">
      <c r="A213" s="11" t="n"/>
      <c r="B213" s="12" t="n"/>
      <c r="C213" s="12" t="n"/>
      <c r="D213" s="13" t="n"/>
      <c r="E213" s="14" t="n"/>
      <c r="F213" s="12" t="n"/>
      <c r="G213" s="15">
        <f>IF($A213="","",IF($F213="won",$E213*$D213,IF($F213="void",$E213,0)))</f>
        <v/>
      </c>
      <c r="H213" s="15">
        <f>IF($A213="","",IF(OR($F213="open",$F213=""),0,$G213-$E213))</f>
        <v/>
      </c>
      <c r="I213" s="15">
        <f>IF($A213="","",$H$1+SUM($H$4:$H213)-SUMIFS($E$4:$E213,$F$4:$F213,"open"))</f>
        <v/>
      </c>
      <c r="J213" s="12" t="n"/>
    </row>
    <row r="214" ht="15" customHeight="1" s="23">
      <c r="A214" s="11" t="n"/>
      <c r="B214" s="12" t="n"/>
      <c r="C214" s="12" t="n"/>
      <c r="D214" s="13" t="n"/>
      <c r="E214" s="14" t="n"/>
      <c r="F214" s="12" t="n"/>
      <c r="G214" s="15">
        <f>IF($A214="","",IF($F214="won",$E214*$D214,IF($F214="void",$E214,0)))</f>
        <v/>
      </c>
      <c r="H214" s="15">
        <f>IF($A214="","",IF(OR($F214="open",$F214=""),0,$G214-$E214))</f>
        <v/>
      </c>
      <c r="I214" s="15">
        <f>IF($A214="","",$H$1+SUM($H$4:$H214)-SUMIFS($E$4:$E214,$F$4:$F214,"open"))</f>
        <v/>
      </c>
      <c r="J214" s="12" t="n"/>
    </row>
    <row r="215" ht="15" customHeight="1" s="23">
      <c r="A215" s="11" t="n"/>
      <c r="B215" s="12" t="n"/>
      <c r="C215" s="12" t="n"/>
      <c r="D215" s="13" t="n"/>
      <c r="E215" s="14" t="n"/>
      <c r="F215" s="12" t="n"/>
      <c r="G215" s="15">
        <f>IF($A215="","",IF($F215="won",$E215*$D215,IF($F215="void",$E215,0)))</f>
        <v/>
      </c>
      <c r="H215" s="15">
        <f>IF($A215="","",IF(OR($F215="open",$F215=""),0,$G215-$E215))</f>
        <v/>
      </c>
      <c r="I215" s="15">
        <f>IF($A215="","",$H$1+SUM($H$4:$H215)-SUMIFS($E$4:$E215,$F$4:$F215,"open"))</f>
        <v/>
      </c>
      <c r="J215" s="12" t="n"/>
    </row>
    <row r="216" ht="15" customHeight="1" s="23">
      <c r="A216" s="11" t="n"/>
      <c r="B216" s="12" t="n"/>
      <c r="C216" s="12" t="n"/>
      <c r="D216" s="13" t="n"/>
      <c r="E216" s="14" t="n"/>
      <c r="F216" s="12" t="n"/>
      <c r="G216" s="15">
        <f>IF($A216="","",IF($F216="won",$E216*$D216,IF($F216="void",$E216,0)))</f>
        <v/>
      </c>
      <c r="H216" s="15">
        <f>IF($A216="","",IF(OR($F216="open",$F216=""),0,$G216-$E216))</f>
        <v/>
      </c>
      <c r="I216" s="15">
        <f>IF($A216="","",$H$1+SUM($H$4:$H216)-SUMIFS($E$4:$E216,$F$4:$F216,"open"))</f>
        <v/>
      </c>
      <c r="J216" s="12" t="n"/>
    </row>
    <row r="217" ht="15" customHeight="1" s="23">
      <c r="A217" s="11" t="n"/>
      <c r="B217" s="12" t="n"/>
      <c r="C217" s="12" t="n"/>
      <c r="D217" s="13" t="n"/>
      <c r="E217" s="14" t="n"/>
      <c r="F217" s="12" t="n"/>
      <c r="G217" s="15">
        <f>IF($A217="","",IF($F217="won",$E217*$D217,IF($F217="void",$E217,0)))</f>
        <v/>
      </c>
      <c r="H217" s="15">
        <f>IF($A217="","",IF(OR($F217="open",$F217=""),0,$G217-$E217))</f>
        <v/>
      </c>
      <c r="I217" s="15">
        <f>IF($A217="","",$H$1+SUM($H$4:$H217)-SUMIFS($E$4:$E217,$F$4:$F217,"open"))</f>
        <v/>
      </c>
      <c r="J217" s="12" t="n"/>
    </row>
    <row r="218" ht="15" customHeight="1" s="23">
      <c r="A218" s="11" t="n"/>
      <c r="B218" s="12" t="n"/>
      <c r="C218" s="12" t="n"/>
      <c r="D218" s="13" t="n"/>
      <c r="E218" s="14" t="n"/>
      <c r="F218" s="12" t="n"/>
      <c r="G218" s="15">
        <f>IF($A218="","",IF($F218="won",$E218*$D218,IF($F218="void",$E218,0)))</f>
        <v/>
      </c>
      <c r="H218" s="15">
        <f>IF($A218="","",IF(OR($F218="open",$F218=""),0,$G218-$E218))</f>
        <v/>
      </c>
      <c r="I218" s="15">
        <f>IF($A218="","",$H$1+SUM($H$4:$H218)-SUMIFS($E$4:$E218,$F$4:$F218,"open"))</f>
        <v/>
      </c>
      <c r="J218" s="12" t="n"/>
    </row>
    <row r="219" ht="15" customHeight="1" s="23">
      <c r="A219" s="11" t="n"/>
      <c r="B219" s="12" t="n"/>
      <c r="C219" s="12" t="n"/>
      <c r="D219" s="13" t="n"/>
      <c r="E219" s="14" t="n"/>
      <c r="F219" s="12" t="n"/>
      <c r="G219" s="15">
        <f>IF($A219="","",IF($F219="won",$E219*$D219,IF($F219="void",$E219,0)))</f>
        <v/>
      </c>
      <c r="H219" s="15">
        <f>IF($A219="","",IF(OR($F219="open",$F219=""),0,$G219-$E219))</f>
        <v/>
      </c>
      <c r="I219" s="15">
        <f>IF($A219="","",$H$1+SUM($H$4:$H219)-SUMIFS($E$4:$E219,$F$4:$F219,"open"))</f>
        <v/>
      </c>
      <c r="J219" s="12" t="n"/>
    </row>
    <row r="220" ht="15" customHeight="1" s="23">
      <c r="A220" s="11" t="n"/>
      <c r="B220" s="12" t="n"/>
      <c r="C220" s="12" t="n"/>
      <c r="D220" s="13" t="n"/>
      <c r="E220" s="14" t="n"/>
      <c r="F220" s="12" t="n"/>
      <c r="G220" s="15">
        <f>IF($A220="","",IF($F220="won",$E220*$D220,IF($F220="void",$E220,0)))</f>
        <v/>
      </c>
      <c r="H220" s="15">
        <f>IF($A220="","",IF(OR($F220="open",$F220=""),0,$G220-$E220))</f>
        <v/>
      </c>
      <c r="I220" s="15">
        <f>IF($A220="","",$H$1+SUM($H$4:$H220)-SUMIFS($E$4:$E220,$F$4:$F220,"open"))</f>
        <v/>
      </c>
      <c r="J220" s="12" t="n"/>
    </row>
    <row r="221" ht="15" customHeight="1" s="23">
      <c r="A221" s="11" t="n"/>
      <c r="B221" s="12" t="n"/>
      <c r="C221" s="12" t="n"/>
      <c r="D221" s="13" t="n"/>
      <c r="E221" s="14" t="n"/>
      <c r="F221" s="12" t="n"/>
      <c r="G221" s="15">
        <f>IF($A221="","",IF($F221="won",$E221*$D221,IF($F221="void",$E221,0)))</f>
        <v/>
      </c>
      <c r="H221" s="15">
        <f>IF($A221="","",IF(OR($F221="open",$F221=""),0,$G221-$E221))</f>
        <v/>
      </c>
      <c r="I221" s="15">
        <f>IF($A221="","",$H$1+SUM($H$4:$H221)-SUMIFS($E$4:$E221,$F$4:$F221,"open"))</f>
        <v/>
      </c>
      <c r="J221" s="12" t="n"/>
    </row>
    <row r="222" ht="15" customHeight="1" s="23">
      <c r="A222" s="11" t="n"/>
      <c r="B222" s="12" t="n"/>
      <c r="C222" s="12" t="n"/>
      <c r="D222" s="13" t="n"/>
      <c r="E222" s="14" t="n"/>
      <c r="F222" s="12" t="n"/>
      <c r="G222" s="15">
        <f>IF($A222="","",IF($F222="won",$E222*$D222,IF($F222="void",$E222,0)))</f>
        <v/>
      </c>
      <c r="H222" s="15">
        <f>IF($A222="","",IF(OR($F222="open",$F222=""),0,$G222-$E222))</f>
        <v/>
      </c>
      <c r="I222" s="15">
        <f>IF($A222="","",$H$1+SUM($H$4:$H222)-SUMIFS($E$4:$E222,$F$4:$F222,"open"))</f>
        <v/>
      </c>
      <c r="J222" s="12" t="n"/>
    </row>
    <row r="223" ht="15" customHeight="1" s="23">
      <c r="A223" s="11" t="n"/>
      <c r="B223" s="12" t="n"/>
      <c r="C223" s="12" t="n"/>
      <c r="D223" s="13" t="n"/>
      <c r="E223" s="14" t="n"/>
      <c r="F223" s="12" t="n"/>
      <c r="G223" s="15">
        <f>IF($A223="","",IF($F223="won",$E223*$D223,IF($F223="void",$E223,0)))</f>
        <v/>
      </c>
      <c r="H223" s="15">
        <f>IF($A223="","",IF(OR($F223="open",$F223=""),0,$G223-$E223))</f>
        <v/>
      </c>
      <c r="I223" s="15">
        <f>IF($A223="","",$H$1+SUM($H$4:$H223)-SUMIFS($E$4:$E223,$F$4:$F223,"open"))</f>
        <v/>
      </c>
      <c r="J223" s="12" t="n"/>
    </row>
    <row r="224" ht="15" customHeight="1" s="23">
      <c r="A224" s="11" t="n"/>
      <c r="B224" s="12" t="n"/>
      <c r="C224" s="12" t="n"/>
      <c r="D224" s="13" t="n"/>
      <c r="E224" s="14" t="n"/>
      <c r="F224" s="12" t="n"/>
      <c r="G224" s="15">
        <f>IF($A224="","",IF($F224="won",$E224*$D224,IF($F224="void",$E224,0)))</f>
        <v/>
      </c>
      <c r="H224" s="15">
        <f>IF($A224="","",IF(OR($F224="open",$F224=""),0,$G224-$E224))</f>
        <v/>
      </c>
      <c r="I224" s="15">
        <f>IF($A224="","",$H$1+SUM($H$4:$H224)-SUMIFS($E$4:$E224,$F$4:$F224,"open"))</f>
        <v/>
      </c>
      <c r="J224" s="12" t="n"/>
    </row>
    <row r="225" ht="15" customHeight="1" s="23">
      <c r="A225" s="11" t="n"/>
      <c r="B225" s="12" t="n"/>
      <c r="C225" s="12" t="n"/>
      <c r="D225" s="13" t="n"/>
      <c r="E225" s="14" t="n"/>
      <c r="F225" s="12" t="n"/>
      <c r="G225" s="15">
        <f>IF($A225="","",IF($F225="won",$E225*$D225,IF($F225="void",$E225,0)))</f>
        <v/>
      </c>
      <c r="H225" s="15">
        <f>IF($A225="","",IF(OR($F225="open",$F225=""),0,$G225-$E225))</f>
        <v/>
      </c>
      <c r="I225" s="15">
        <f>IF($A225="","",$H$1+SUM($H$4:$H225)-SUMIFS($E$4:$E225,$F$4:$F225,"open"))</f>
        <v/>
      </c>
      <c r="J225" s="12" t="n"/>
    </row>
    <row r="226" ht="15" customHeight="1" s="23">
      <c r="A226" s="11" t="n"/>
      <c r="B226" s="12" t="n"/>
      <c r="C226" s="12" t="n"/>
      <c r="D226" s="13" t="n"/>
      <c r="E226" s="14" t="n"/>
      <c r="F226" s="12" t="n"/>
      <c r="G226" s="15">
        <f>IF($A226="","",IF($F226="won",$E226*$D226,IF($F226="void",$E226,0)))</f>
        <v/>
      </c>
      <c r="H226" s="15">
        <f>IF($A226="","",IF(OR($F226="open",$F226=""),0,$G226-$E226))</f>
        <v/>
      </c>
      <c r="I226" s="15">
        <f>IF($A226="","",$H$1+SUM($H$4:$H226)-SUMIFS($E$4:$E226,$F$4:$F226,"open"))</f>
        <v/>
      </c>
      <c r="J226" s="12" t="n"/>
    </row>
    <row r="227" ht="15" customHeight="1" s="23">
      <c r="A227" s="11" t="n"/>
      <c r="B227" s="12" t="n"/>
      <c r="C227" s="12" t="n"/>
      <c r="D227" s="13" t="n"/>
      <c r="E227" s="14" t="n"/>
      <c r="F227" s="12" t="n"/>
      <c r="G227" s="15">
        <f>IF($A227="","",IF($F227="won",$E227*$D227,IF($F227="void",$E227,0)))</f>
        <v/>
      </c>
      <c r="H227" s="15">
        <f>IF($A227="","",IF(OR($F227="open",$F227=""),0,$G227-$E227))</f>
        <v/>
      </c>
      <c r="I227" s="15">
        <f>IF($A227="","",$H$1+SUM($H$4:$H227)-SUMIFS($E$4:$E227,$F$4:$F227,"open"))</f>
        <v/>
      </c>
      <c r="J227" s="12" t="n"/>
    </row>
    <row r="228" ht="15" customHeight="1" s="23">
      <c r="A228" s="11" t="n"/>
      <c r="B228" s="12" t="n"/>
      <c r="C228" s="12" t="n"/>
      <c r="D228" s="13" t="n"/>
      <c r="E228" s="14" t="n"/>
      <c r="F228" s="12" t="n"/>
      <c r="G228" s="15">
        <f>IF($A228="","",IF($F228="won",$E228*$D228,IF($F228="void",$E228,0)))</f>
        <v/>
      </c>
      <c r="H228" s="15">
        <f>IF($A228="","",IF(OR($F228="open",$F228=""),0,$G228-$E228))</f>
        <v/>
      </c>
      <c r="I228" s="15">
        <f>IF($A228="","",$H$1+SUM($H$4:$H228)-SUMIFS($E$4:$E228,$F$4:$F228,"open"))</f>
        <v/>
      </c>
      <c r="J228" s="12" t="n"/>
    </row>
    <row r="229" ht="15" customHeight="1" s="23">
      <c r="A229" s="11" t="n"/>
      <c r="B229" s="12" t="n"/>
      <c r="C229" s="12" t="n"/>
      <c r="D229" s="13" t="n"/>
      <c r="E229" s="14" t="n"/>
      <c r="F229" s="12" t="n"/>
      <c r="G229" s="15">
        <f>IF($A229="","",IF($F229="won",$E229*$D229,IF($F229="void",$E229,0)))</f>
        <v/>
      </c>
      <c r="H229" s="15">
        <f>IF($A229="","",IF(OR($F229="open",$F229=""),0,$G229-$E229))</f>
        <v/>
      </c>
      <c r="I229" s="15">
        <f>IF($A229="","",$H$1+SUM($H$4:$H229)-SUMIFS($E$4:$E229,$F$4:$F229,"open"))</f>
        <v/>
      </c>
      <c r="J229" s="12" t="n"/>
    </row>
    <row r="230" ht="15" customHeight="1" s="23">
      <c r="A230" s="11" t="n"/>
      <c r="B230" s="12" t="n"/>
      <c r="C230" s="12" t="n"/>
      <c r="D230" s="13" t="n"/>
      <c r="E230" s="14" t="n"/>
      <c r="F230" s="12" t="n"/>
      <c r="G230" s="15">
        <f>IF($A230="","",IF($F230="won",$E230*$D230,IF($F230="void",$E230,0)))</f>
        <v/>
      </c>
      <c r="H230" s="15">
        <f>IF($A230="","",IF(OR($F230="open",$F230=""),0,$G230-$E230))</f>
        <v/>
      </c>
      <c r="I230" s="15">
        <f>IF($A230="","",$H$1+SUM($H$4:$H230)-SUMIFS($E$4:$E230,$F$4:$F230,"open"))</f>
        <v/>
      </c>
      <c r="J230" s="12" t="n"/>
    </row>
    <row r="231" ht="15" customHeight="1" s="23">
      <c r="A231" s="11" t="n"/>
      <c r="B231" s="12" t="n"/>
      <c r="C231" s="12" t="n"/>
      <c r="D231" s="13" t="n"/>
      <c r="E231" s="14" t="n"/>
      <c r="F231" s="12" t="n"/>
      <c r="G231" s="15">
        <f>IF($A231="","",IF($F231="won",$E231*$D231,IF($F231="void",$E231,0)))</f>
        <v/>
      </c>
      <c r="H231" s="15">
        <f>IF($A231="","",IF(OR($F231="open",$F231=""),0,$G231-$E231))</f>
        <v/>
      </c>
      <c r="I231" s="15">
        <f>IF($A231="","",$H$1+SUM($H$4:$H231)-SUMIFS($E$4:$E231,$F$4:$F231,"open"))</f>
        <v/>
      </c>
      <c r="J231" s="12" t="n"/>
    </row>
    <row r="232" ht="15" customHeight="1" s="23">
      <c r="A232" s="11" t="n"/>
      <c r="B232" s="12" t="n"/>
      <c r="C232" s="12" t="n"/>
      <c r="D232" s="13" t="n"/>
      <c r="E232" s="14" t="n"/>
      <c r="F232" s="12" t="n"/>
      <c r="G232" s="15">
        <f>IF($A232="","",IF($F232="won",$E232*$D232,IF($F232="void",$E232,0)))</f>
        <v/>
      </c>
      <c r="H232" s="15">
        <f>IF($A232="","",IF(OR($F232="open",$F232=""),0,$G232-$E232))</f>
        <v/>
      </c>
      <c r="I232" s="15">
        <f>IF($A232="","",$H$1+SUM($H$4:$H232)-SUMIFS($E$4:$E232,$F$4:$F232,"open"))</f>
        <v/>
      </c>
      <c r="J232" s="12" t="n"/>
    </row>
    <row r="233" ht="15" customHeight="1" s="23">
      <c r="A233" s="11" t="n"/>
      <c r="B233" s="12" t="n"/>
      <c r="C233" s="12" t="n"/>
      <c r="D233" s="13" t="n"/>
      <c r="E233" s="14" t="n"/>
      <c r="F233" s="12" t="n"/>
      <c r="G233" s="15">
        <f>IF($A233="","",IF($F233="won",$E233*$D233,IF($F233="void",$E233,0)))</f>
        <v/>
      </c>
      <c r="H233" s="15">
        <f>IF($A233="","",IF(OR($F233="open",$F233=""),0,$G233-$E233))</f>
        <v/>
      </c>
      <c r="I233" s="15">
        <f>IF($A233="","",$H$1+SUM($H$4:$H233)-SUMIFS($E$4:$E233,$F$4:$F233,"open"))</f>
        <v/>
      </c>
      <c r="J233" s="12" t="n"/>
    </row>
    <row r="234" ht="15" customHeight="1" s="23">
      <c r="A234" s="11" t="n"/>
      <c r="B234" s="12" t="n"/>
      <c r="C234" s="12" t="n"/>
      <c r="D234" s="13" t="n"/>
      <c r="E234" s="14" t="n"/>
      <c r="F234" s="12" t="n"/>
      <c r="G234" s="15">
        <f>IF($A234="","",IF($F234="won",$E234*$D234,IF($F234="void",$E234,0)))</f>
        <v/>
      </c>
      <c r="H234" s="15">
        <f>IF($A234="","",IF(OR($F234="open",$F234=""),0,$G234-$E234))</f>
        <v/>
      </c>
      <c r="I234" s="15">
        <f>IF($A234="","",$H$1+SUM($H$4:$H234)-SUMIFS($E$4:$E234,$F$4:$F234,"open"))</f>
        <v/>
      </c>
      <c r="J234" s="12" t="n"/>
    </row>
    <row r="235" ht="15" customHeight="1" s="23">
      <c r="A235" s="11" t="n"/>
      <c r="B235" s="12" t="n"/>
      <c r="C235" s="12" t="n"/>
      <c r="D235" s="13" t="n"/>
      <c r="E235" s="14" t="n"/>
      <c r="F235" s="12" t="n"/>
      <c r="G235" s="15">
        <f>IF($A235="","",IF($F235="won",$E235*$D235,IF($F235="void",$E235,0)))</f>
        <v/>
      </c>
      <c r="H235" s="15">
        <f>IF($A235="","",IF(OR($F235="open",$F235=""),0,$G235-$E235))</f>
        <v/>
      </c>
      <c r="I235" s="15">
        <f>IF($A235="","",$H$1+SUM($H$4:$H235)-SUMIFS($E$4:$E235,$F$4:$F235,"open"))</f>
        <v/>
      </c>
      <c r="J235" s="12" t="n"/>
    </row>
    <row r="236" ht="15" customHeight="1" s="23">
      <c r="A236" s="11" t="n"/>
      <c r="B236" s="12" t="n"/>
      <c r="C236" s="12" t="n"/>
      <c r="D236" s="13" t="n"/>
      <c r="E236" s="14" t="n"/>
      <c r="F236" s="12" t="n"/>
      <c r="G236" s="15">
        <f>IF($A236="","",IF($F236="won",$E236*$D236,IF($F236="void",$E236,0)))</f>
        <v/>
      </c>
      <c r="H236" s="15">
        <f>IF($A236="","",IF(OR($F236="open",$F236=""),0,$G236-$E236))</f>
        <v/>
      </c>
      <c r="I236" s="15">
        <f>IF($A236="","",$H$1+SUM($H$4:$H236)-SUMIFS($E$4:$E236,$F$4:$F236,"open"))</f>
        <v/>
      </c>
      <c r="J236" s="12" t="n"/>
    </row>
    <row r="237" ht="15" customHeight="1" s="23">
      <c r="A237" s="11" t="n"/>
      <c r="B237" s="12" t="n"/>
      <c r="C237" s="12" t="n"/>
      <c r="D237" s="13" t="n"/>
      <c r="E237" s="14" t="n"/>
      <c r="F237" s="12" t="n"/>
      <c r="G237" s="15">
        <f>IF($A237="","",IF($F237="won",$E237*$D237,IF($F237="void",$E237,0)))</f>
        <v/>
      </c>
      <c r="H237" s="15">
        <f>IF($A237="","",IF(OR($F237="open",$F237=""),0,$G237-$E237))</f>
        <v/>
      </c>
      <c r="I237" s="15">
        <f>IF($A237="","",$H$1+SUM($H$4:$H237)-SUMIFS($E$4:$E237,$F$4:$F237,"open"))</f>
        <v/>
      </c>
      <c r="J237" s="12" t="n"/>
    </row>
    <row r="238" ht="15" customHeight="1" s="23">
      <c r="A238" s="11" t="n"/>
      <c r="B238" s="12" t="n"/>
      <c r="C238" s="12" t="n"/>
      <c r="D238" s="13" t="n"/>
      <c r="E238" s="14" t="n"/>
      <c r="F238" s="12" t="n"/>
      <c r="G238" s="15">
        <f>IF($A238="","",IF($F238="won",$E238*$D238,IF($F238="void",$E238,0)))</f>
        <v/>
      </c>
      <c r="H238" s="15">
        <f>IF($A238="","",IF(OR($F238="open",$F238=""),0,$G238-$E238))</f>
        <v/>
      </c>
      <c r="I238" s="15">
        <f>IF($A238="","",$H$1+SUM($H$4:$H238)-SUMIFS($E$4:$E238,$F$4:$F238,"open"))</f>
        <v/>
      </c>
      <c r="J238" s="12" t="n"/>
    </row>
    <row r="239" ht="15" customHeight="1" s="23">
      <c r="A239" s="11" t="n"/>
      <c r="B239" s="12" t="n"/>
      <c r="C239" s="12" t="n"/>
      <c r="D239" s="13" t="n"/>
      <c r="E239" s="14" t="n"/>
      <c r="F239" s="12" t="n"/>
      <c r="G239" s="15">
        <f>IF($A239="","",IF($F239="won",$E239*$D239,IF($F239="void",$E239,0)))</f>
        <v/>
      </c>
      <c r="H239" s="15">
        <f>IF($A239="","",IF(OR($F239="open",$F239=""),0,$G239-$E239))</f>
        <v/>
      </c>
      <c r="I239" s="15">
        <f>IF($A239="","",$H$1+SUM($H$4:$H239)-SUMIFS($E$4:$E239,$F$4:$F239,"open"))</f>
        <v/>
      </c>
      <c r="J239" s="12" t="n"/>
    </row>
    <row r="240" ht="15" customHeight="1" s="23">
      <c r="A240" s="11" t="n"/>
      <c r="B240" s="12" t="n"/>
      <c r="C240" s="12" t="n"/>
      <c r="D240" s="13" t="n"/>
      <c r="E240" s="14" t="n"/>
      <c r="F240" s="12" t="n"/>
      <c r="G240" s="15">
        <f>IF($A240="","",IF($F240="won",$E240*$D240,IF($F240="void",$E240,0)))</f>
        <v/>
      </c>
      <c r="H240" s="15">
        <f>IF($A240="","",IF(OR($F240="open",$F240=""),0,$G240-$E240))</f>
        <v/>
      </c>
      <c r="I240" s="15">
        <f>IF($A240="","",$H$1+SUM($H$4:$H240)-SUMIFS($E$4:$E240,$F$4:$F240,"open"))</f>
        <v/>
      </c>
      <c r="J240" s="12" t="n"/>
    </row>
    <row r="241" ht="15" customHeight="1" s="23">
      <c r="A241" s="11" t="n"/>
      <c r="B241" s="12" t="n"/>
      <c r="C241" s="12" t="n"/>
      <c r="D241" s="13" t="n"/>
      <c r="E241" s="14" t="n"/>
      <c r="F241" s="12" t="n"/>
      <c r="G241" s="15">
        <f>IF($A241="","",IF($F241="won",$E241*$D241,IF($F241="void",$E241,0)))</f>
        <v/>
      </c>
      <c r="H241" s="15">
        <f>IF($A241="","",IF(OR($F241="open",$F241=""),0,$G241-$E241))</f>
        <v/>
      </c>
      <c r="I241" s="15">
        <f>IF($A241="","",$H$1+SUM($H$4:$H241)-SUMIFS($E$4:$E241,$F$4:$F241,"open"))</f>
        <v/>
      </c>
      <c r="J241" s="12" t="n"/>
    </row>
    <row r="242" ht="15" customHeight="1" s="23">
      <c r="A242" s="11" t="n"/>
      <c r="B242" s="12" t="n"/>
      <c r="C242" s="12" t="n"/>
      <c r="D242" s="13" t="n"/>
      <c r="E242" s="14" t="n"/>
      <c r="F242" s="12" t="n"/>
      <c r="G242" s="15">
        <f>IF($A242="","",IF($F242="won",$E242*$D242,IF($F242="void",$E242,0)))</f>
        <v/>
      </c>
      <c r="H242" s="15">
        <f>IF($A242="","",IF(OR($F242="open",$F242=""),0,$G242-$E242))</f>
        <v/>
      </c>
      <c r="I242" s="15">
        <f>IF($A242="","",$H$1+SUM($H$4:$H242)-SUMIFS($E$4:$E242,$F$4:$F242,"open"))</f>
        <v/>
      </c>
      <c r="J242" s="12" t="n"/>
    </row>
    <row r="243" ht="15" customHeight="1" s="23">
      <c r="A243" s="11" t="n"/>
      <c r="B243" s="12" t="n"/>
      <c r="C243" s="12" t="n"/>
      <c r="D243" s="13" t="n"/>
      <c r="E243" s="14" t="n"/>
      <c r="F243" s="12" t="n"/>
      <c r="G243" s="15">
        <f>IF($A243="","",IF($F243="won",$E243*$D243,IF($F243="void",$E243,0)))</f>
        <v/>
      </c>
      <c r="H243" s="15">
        <f>IF($A243="","",IF(OR($F243="open",$F243=""),0,$G243-$E243))</f>
        <v/>
      </c>
      <c r="I243" s="15">
        <f>IF($A243="","",$H$1+SUM($H$4:$H243)-SUMIFS($E$4:$E243,$F$4:$F243,"open"))</f>
        <v/>
      </c>
      <c r="J243" s="12" t="n"/>
    </row>
    <row r="244" ht="15" customHeight="1" s="23">
      <c r="A244" s="11" t="n"/>
      <c r="B244" s="12" t="n"/>
      <c r="C244" s="12" t="n"/>
      <c r="D244" s="13" t="n"/>
      <c r="E244" s="14" t="n"/>
      <c r="F244" s="12" t="n"/>
      <c r="G244" s="15">
        <f>IF($A244="","",IF($F244="won",$E244*$D244,IF($F244="void",$E244,0)))</f>
        <v/>
      </c>
      <c r="H244" s="15">
        <f>IF($A244="","",IF(OR($F244="open",$F244=""),0,$G244-$E244))</f>
        <v/>
      </c>
      <c r="I244" s="15">
        <f>IF($A244="","",$H$1+SUM($H$4:$H244)-SUMIFS($E$4:$E244,$F$4:$F244,"open"))</f>
        <v/>
      </c>
      <c r="J244" s="12" t="n"/>
    </row>
    <row r="245" ht="15" customHeight="1" s="23">
      <c r="A245" s="11" t="n"/>
      <c r="B245" s="12" t="n"/>
      <c r="C245" s="12" t="n"/>
      <c r="D245" s="13" t="n"/>
      <c r="E245" s="14" t="n"/>
      <c r="F245" s="12" t="n"/>
      <c r="G245" s="15">
        <f>IF($A245="","",IF($F245="won",$E245*$D245,IF($F245="void",$E245,0)))</f>
        <v/>
      </c>
      <c r="H245" s="15">
        <f>IF($A245="","",IF(OR($F245="open",$F245=""),0,$G245-$E245))</f>
        <v/>
      </c>
      <c r="I245" s="15">
        <f>IF($A245="","",$H$1+SUM($H$4:$H245)-SUMIFS($E$4:$E245,$F$4:$F245,"open"))</f>
        <v/>
      </c>
      <c r="J245" s="12" t="n"/>
    </row>
    <row r="246" ht="15" customHeight="1" s="23">
      <c r="A246" s="11" t="n"/>
      <c r="B246" s="12" t="n"/>
      <c r="C246" s="12" t="n"/>
      <c r="D246" s="13" t="n"/>
      <c r="E246" s="14" t="n"/>
      <c r="F246" s="12" t="n"/>
      <c r="G246" s="15">
        <f>IF($A246="","",IF($F246="won",$E246*$D246,IF($F246="void",$E246,0)))</f>
        <v/>
      </c>
      <c r="H246" s="15">
        <f>IF($A246="","",IF(OR($F246="open",$F246=""),0,$G246-$E246))</f>
        <v/>
      </c>
      <c r="I246" s="15">
        <f>IF($A246="","",$H$1+SUM($H$4:$H246)-SUMIFS($E$4:$E246,$F$4:$F246,"open"))</f>
        <v/>
      </c>
      <c r="J246" s="12" t="n"/>
    </row>
    <row r="247" ht="15" customHeight="1" s="23">
      <c r="A247" s="11" t="n"/>
      <c r="B247" s="12" t="n"/>
      <c r="C247" s="12" t="n"/>
      <c r="D247" s="13" t="n"/>
      <c r="E247" s="14" t="n"/>
      <c r="F247" s="12" t="n"/>
      <c r="G247" s="15">
        <f>IF($A247="","",IF($F247="won",$E247*$D247,IF($F247="void",$E247,0)))</f>
        <v/>
      </c>
      <c r="H247" s="15">
        <f>IF($A247="","",IF(OR($F247="open",$F247=""),0,$G247-$E247))</f>
        <v/>
      </c>
      <c r="I247" s="15">
        <f>IF($A247="","",$H$1+SUM($H$4:$H247)-SUMIFS($E$4:$E247,$F$4:$F247,"open"))</f>
        <v/>
      </c>
      <c r="J247" s="12" t="n"/>
    </row>
    <row r="248" ht="15" customHeight="1" s="23">
      <c r="A248" s="11" t="n"/>
      <c r="B248" s="12" t="n"/>
      <c r="C248" s="12" t="n"/>
      <c r="D248" s="13" t="n"/>
      <c r="E248" s="14" t="n"/>
      <c r="F248" s="12" t="n"/>
      <c r="G248" s="15">
        <f>IF($A248="","",IF($F248="won",$E248*$D248,IF($F248="void",$E248,0)))</f>
        <v/>
      </c>
      <c r="H248" s="15">
        <f>IF($A248="","",IF(OR($F248="open",$F248=""),0,$G248-$E248))</f>
        <v/>
      </c>
      <c r="I248" s="15">
        <f>IF($A248="","",$H$1+SUM($H$4:$H248)-SUMIFS($E$4:$E248,$F$4:$F248,"open"))</f>
        <v/>
      </c>
      <c r="J248" s="12" t="n"/>
    </row>
    <row r="249" ht="15" customHeight="1" s="23">
      <c r="A249" s="11" t="n"/>
      <c r="B249" s="12" t="n"/>
      <c r="C249" s="12" t="n"/>
      <c r="D249" s="13" t="n"/>
      <c r="E249" s="14" t="n"/>
      <c r="F249" s="12" t="n"/>
      <c r="G249" s="15">
        <f>IF($A249="","",IF($F249="won",$E249*$D249,IF($F249="void",$E249,0)))</f>
        <v/>
      </c>
      <c r="H249" s="15">
        <f>IF($A249="","",IF(OR($F249="open",$F249=""),0,$G249-$E249))</f>
        <v/>
      </c>
      <c r="I249" s="15">
        <f>IF($A249="","",$H$1+SUM($H$4:$H249)-SUMIFS($E$4:$E249,$F$4:$F249,"open"))</f>
        <v/>
      </c>
      <c r="J249" s="12" t="n"/>
    </row>
    <row r="250" ht="15" customHeight="1" s="23">
      <c r="A250" s="11" t="n"/>
      <c r="B250" s="12" t="n"/>
      <c r="C250" s="12" t="n"/>
      <c r="D250" s="13" t="n"/>
      <c r="E250" s="14" t="n"/>
      <c r="F250" s="12" t="n"/>
      <c r="G250" s="15">
        <f>IF($A250="","",IF($F250="won",$E250*$D250,IF($F250="void",$E250,0)))</f>
        <v/>
      </c>
      <c r="H250" s="15">
        <f>IF($A250="","",IF(OR($F250="open",$F250=""),0,$G250-$E250))</f>
        <v/>
      </c>
      <c r="I250" s="15">
        <f>IF($A250="","",$H$1+SUM($H$4:$H250)-SUMIFS($E$4:$E250,$F$4:$F250,"open"))</f>
        <v/>
      </c>
      <c r="J250" s="12" t="n"/>
    </row>
    <row r="251" ht="15" customHeight="1" s="23">
      <c r="A251" s="11" t="n"/>
      <c r="B251" s="12" t="n"/>
      <c r="C251" s="12" t="n"/>
      <c r="D251" s="13" t="n"/>
      <c r="E251" s="14" t="n"/>
      <c r="F251" s="12" t="n"/>
      <c r="G251" s="15">
        <f>IF($A251="","",IF($F251="won",$E251*$D251,IF($F251="void",$E251,0)))</f>
        <v/>
      </c>
      <c r="H251" s="15">
        <f>IF($A251="","",IF(OR($F251="open",$F251=""),0,$G251-$E251))</f>
        <v/>
      </c>
      <c r="I251" s="15">
        <f>IF($A251="","",$H$1+SUM($H$4:$H251)-SUMIFS($E$4:$E251,$F$4:$F251,"open"))</f>
        <v/>
      </c>
      <c r="J251" s="12" t="n"/>
    </row>
    <row r="252" ht="15" customHeight="1" s="23">
      <c r="A252" s="11" t="n"/>
      <c r="B252" s="12" t="n"/>
      <c r="C252" s="12" t="n"/>
      <c r="D252" s="13" t="n"/>
      <c r="E252" s="14" t="n"/>
      <c r="F252" s="12" t="n"/>
      <c r="G252" s="15">
        <f>IF($A252="","",IF($F252="won",$E252*$D252,IF($F252="void",$E252,0)))</f>
        <v/>
      </c>
      <c r="H252" s="15">
        <f>IF($A252="","",IF(OR($F252="open",$F252=""),0,$G252-$E252))</f>
        <v/>
      </c>
      <c r="I252" s="15">
        <f>IF($A252="","",$H$1+SUM($H$4:$H252)-SUMIFS($E$4:$E252,$F$4:$F252,"open"))</f>
        <v/>
      </c>
      <c r="J252" s="12" t="n"/>
    </row>
    <row r="253" ht="15" customHeight="1" s="23">
      <c r="A253" s="11" t="n"/>
      <c r="B253" s="12" t="n"/>
      <c r="C253" s="12" t="n"/>
      <c r="D253" s="13" t="n"/>
      <c r="E253" s="14" t="n"/>
      <c r="F253" s="12" t="n"/>
      <c r="G253" s="15">
        <f>IF($A253="","",IF($F253="won",$E253*$D253,IF($F253="void",$E253,0)))</f>
        <v/>
      </c>
      <c r="H253" s="15">
        <f>IF($A253="","",IF(OR($F253="open",$F253=""),0,$G253-$E253))</f>
        <v/>
      </c>
      <c r="I253" s="15">
        <f>IF($A253="","",$H$1+SUM($H$4:$H253)-SUMIFS($E$4:$E253,$F$4:$F253,"open"))</f>
        <v/>
      </c>
      <c r="J253" s="12" t="n"/>
    </row>
    <row r="254" ht="15" customHeight="1" s="23">
      <c r="A254" s="11" t="n"/>
      <c r="B254" s="12" t="n"/>
      <c r="C254" s="12" t="n"/>
      <c r="D254" s="13" t="n"/>
      <c r="E254" s="14" t="n"/>
      <c r="F254" s="12" t="n"/>
      <c r="G254" s="15">
        <f>IF($A254="","",IF($F254="won",$E254*$D254,IF($F254="void",$E254,0)))</f>
        <v/>
      </c>
      <c r="H254" s="15">
        <f>IF($A254="","",IF(OR($F254="open",$F254=""),0,$G254-$E254))</f>
        <v/>
      </c>
      <c r="I254" s="15">
        <f>IF($A254="","",$H$1+SUM($H$4:$H254)-SUMIFS($E$4:$E254,$F$4:$F254,"open"))</f>
        <v/>
      </c>
      <c r="J254" s="12" t="n"/>
    </row>
    <row r="255" ht="15" customHeight="1" s="23">
      <c r="A255" s="11" t="n"/>
      <c r="B255" s="12" t="n"/>
      <c r="C255" s="12" t="n"/>
      <c r="D255" s="13" t="n"/>
      <c r="E255" s="14" t="n"/>
      <c r="F255" s="12" t="n"/>
      <c r="G255" s="15">
        <f>IF($A255="","",IF($F255="won",$E255*$D255,IF($F255="void",$E255,0)))</f>
        <v/>
      </c>
      <c r="H255" s="15">
        <f>IF($A255="","",IF(OR($F255="open",$F255=""),0,$G255-$E255))</f>
        <v/>
      </c>
      <c r="I255" s="15">
        <f>IF($A255="","",$H$1+SUM($H$4:$H255)-SUMIFS($E$4:$E255,$F$4:$F255,"open"))</f>
        <v/>
      </c>
      <c r="J255" s="12" t="n"/>
    </row>
    <row r="256" ht="15" customHeight="1" s="23">
      <c r="A256" s="11" t="n"/>
      <c r="B256" s="12" t="n"/>
      <c r="C256" s="12" t="n"/>
      <c r="D256" s="13" t="n"/>
      <c r="E256" s="14" t="n"/>
      <c r="F256" s="12" t="n"/>
      <c r="G256" s="15">
        <f>IF($A256="","",IF($F256="won",$E256*$D256,IF($F256="void",$E256,0)))</f>
        <v/>
      </c>
      <c r="H256" s="15">
        <f>IF($A256="","",IF(OR($F256="open",$F256=""),0,$G256-$E256))</f>
        <v/>
      </c>
      <c r="I256" s="15">
        <f>IF($A256="","",$H$1+SUM($H$4:$H256)-SUMIFS($E$4:$E256,$F$4:$F256,"open"))</f>
        <v/>
      </c>
      <c r="J256" s="12" t="n"/>
    </row>
    <row r="257" ht="15" customHeight="1" s="23">
      <c r="A257" s="11" t="n"/>
      <c r="B257" s="12" t="n"/>
      <c r="C257" s="12" t="n"/>
      <c r="D257" s="13" t="n"/>
      <c r="E257" s="14" t="n"/>
      <c r="F257" s="12" t="n"/>
      <c r="G257" s="15">
        <f>IF($A257="","",IF($F257="won",$E257*$D257,IF($F257="void",$E257,0)))</f>
        <v/>
      </c>
      <c r="H257" s="15">
        <f>IF($A257="","",IF(OR($F257="open",$F257=""),0,$G257-$E257))</f>
        <v/>
      </c>
      <c r="I257" s="15">
        <f>IF($A257="","",$H$1+SUM($H$4:$H257)-SUMIFS($E$4:$E257,$F$4:$F257,"open"))</f>
        <v/>
      </c>
      <c r="J257" s="12" t="n"/>
    </row>
    <row r="258" ht="15" customHeight="1" s="23">
      <c r="A258" s="11" t="n"/>
      <c r="B258" s="12" t="n"/>
      <c r="C258" s="12" t="n"/>
      <c r="D258" s="13" t="n"/>
      <c r="E258" s="14" t="n"/>
      <c r="F258" s="12" t="n"/>
      <c r="G258" s="15">
        <f>IF($A258="","",IF($F258="won",$E258*$D258,IF($F258="void",$E258,0)))</f>
        <v/>
      </c>
      <c r="H258" s="15">
        <f>IF($A258="","",IF(OR($F258="open",$F258=""),0,$G258-$E258))</f>
        <v/>
      </c>
      <c r="I258" s="15">
        <f>IF($A258="","",$H$1+SUM($H$4:$H258)-SUMIFS($E$4:$E258,$F$4:$F258,"open"))</f>
        <v/>
      </c>
      <c r="J258" s="12" t="n"/>
    </row>
    <row r="259" ht="15" customHeight="1" s="23">
      <c r="A259" s="11" t="n"/>
      <c r="B259" s="12" t="n"/>
      <c r="C259" s="12" t="n"/>
      <c r="D259" s="13" t="n"/>
      <c r="E259" s="14" t="n"/>
      <c r="F259" s="12" t="n"/>
      <c r="G259" s="15">
        <f>IF($A259="","",IF($F259="won",$E259*$D259,IF($F259="void",$E259,0)))</f>
        <v/>
      </c>
      <c r="H259" s="15">
        <f>IF($A259="","",IF(OR($F259="open",$F259=""),0,$G259-$E259))</f>
        <v/>
      </c>
      <c r="I259" s="15">
        <f>IF($A259="","",$H$1+SUM($H$4:$H259)-SUMIFS($E$4:$E259,$F$4:$F259,"open"))</f>
        <v/>
      </c>
      <c r="J259" s="12" t="n"/>
    </row>
    <row r="260" ht="15" customHeight="1" s="23">
      <c r="A260" s="11" t="n"/>
      <c r="B260" s="12" t="n"/>
      <c r="C260" s="12" t="n"/>
      <c r="D260" s="13" t="n"/>
      <c r="E260" s="14" t="n"/>
      <c r="F260" s="12" t="n"/>
      <c r="G260" s="15">
        <f>IF($A260="","",IF($F260="won",$E260*$D260,IF($F260="void",$E260,0)))</f>
        <v/>
      </c>
      <c r="H260" s="15">
        <f>IF($A260="","",IF(OR($F260="open",$F260=""),0,$G260-$E260))</f>
        <v/>
      </c>
      <c r="I260" s="15">
        <f>IF($A260="","",$H$1+SUM($H$4:$H260)-SUMIFS($E$4:$E260,$F$4:$F260,"open"))</f>
        <v/>
      </c>
      <c r="J260" s="12" t="n"/>
    </row>
    <row r="261" ht="15" customHeight="1" s="23">
      <c r="A261" s="11" t="n"/>
      <c r="B261" s="12" t="n"/>
      <c r="C261" s="12" t="n"/>
      <c r="D261" s="13" t="n"/>
      <c r="E261" s="14" t="n"/>
      <c r="F261" s="12" t="n"/>
      <c r="G261" s="15">
        <f>IF($A261="","",IF($F261="won",$E261*$D261,IF($F261="void",$E261,0)))</f>
        <v/>
      </c>
      <c r="H261" s="15">
        <f>IF($A261="","",IF(OR($F261="open",$F261=""),0,$G261-$E261))</f>
        <v/>
      </c>
      <c r="I261" s="15">
        <f>IF($A261="","",$H$1+SUM($H$4:$H261)-SUMIFS($E$4:$E261,$F$4:$F261,"open"))</f>
        <v/>
      </c>
      <c r="J261" s="12" t="n"/>
    </row>
    <row r="262" ht="15" customHeight="1" s="23">
      <c r="A262" s="11" t="n"/>
      <c r="B262" s="12" t="n"/>
      <c r="C262" s="12" t="n"/>
      <c r="D262" s="13" t="n"/>
      <c r="E262" s="14" t="n"/>
      <c r="F262" s="12" t="n"/>
      <c r="G262" s="15">
        <f>IF($A262="","",IF($F262="won",$E262*$D262,IF($F262="void",$E262,0)))</f>
        <v/>
      </c>
      <c r="H262" s="15">
        <f>IF($A262="","",IF(OR($F262="open",$F262=""),0,$G262-$E262))</f>
        <v/>
      </c>
      <c r="I262" s="15">
        <f>IF($A262="","",$H$1+SUM($H$4:$H262)-SUMIFS($E$4:$E262,$F$4:$F262,"open"))</f>
        <v/>
      </c>
      <c r="J262" s="12" t="n"/>
    </row>
    <row r="263" ht="15" customHeight="1" s="23">
      <c r="A263" s="11" t="n"/>
      <c r="B263" s="12" t="n"/>
      <c r="C263" s="12" t="n"/>
      <c r="D263" s="13" t="n"/>
      <c r="E263" s="14" t="n"/>
      <c r="F263" s="12" t="n"/>
      <c r="G263" s="15">
        <f>IF($A263="","",IF($F263="won",$E263*$D263,IF($F263="void",$E263,0)))</f>
        <v/>
      </c>
      <c r="H263" s="15">
        <f>IF($A263="","",IF(OR($F263="open",$F263=""),0,$G263-$E263))</f>
        <v/>
      </c>
      <c r="I263" s="15">
        <f>IF($A263="","",$H$1+SUM($H$4:$H263)-SUMIFS($E$4:$E263,$F$4:$F263,"open"))</f>
        <v/>
      </c>
      <c r="J263" s="12" t="n"/>
    </row>
    <row r="264" ht="15" customHeight="1" s="23">
      <c r="A264" s="11" t="n"/>
      <c r="B264" s="12" t="n"/>
      <c r="C264" s="12" t="n"/>
      <c r="D264" s="13" t="n"/>
      <c r="E264" s="14" t="n"/>
      <c r="F264" s="12" t="n"/>
      <c r="G264" s="15">
        <f>IF($A264="","",IF($F264="won",$E264*$D264,IF($F264="void",$E264,0)))</f>
        <v/>
      </c>
      <c r="H264" s="15">
        <f>IF($A264="","",IF(OR($F264="open",$F264=""),0,$G264-$E264))</f>
        <v/>
      </c>
      <c r="I264" s="15">
        <f>IF($A264="","",$H$1+SUM($H$4:$H264)-SUMIFS($E$4:$E264,$F$4:$F264,"open"))</f>
        <v/>
      </c>
      <c r="J264" s="12" t="n"/>
    </row>
    <row r="265" ht="15" customHeight="1" s="23">
      <c r="A265" s="11" t="n"/>
      <c r="B265" s="12" t="n"/>
      <c r="C265" s="12" t="n"/>
      <c r="D265" s="13" t="n"/>
      <c r="E265" s="14" t="n"/>
      <c r="F265" s="12" t="n"/>
      <c r="G265" s="15">
        <f>IF($A265="","",IF($F265="won",$E265*$D265,IF($F265="void",$E265,0)))</f>
        <v/>
      </c>
      <c r="H265" s="15">
        <f>IF($A265="","",IF(OR($F265="open",$F265=""),0,$G265-$E265))</f>
        <v/>
      </c>
      <c r="I265" s="15">
        <f>IF($A265="","",$H$1+SUM($H$4:$H265)-SUMIFS($E$4:$E265,$F$4:$F265,"open"))</f>
        <v/>
      </c>
      <c r="J265" s="12" t="n"/>
    </row>
    <row r="266" ht="15" customHeight="1" s="23">
      <c r="A266" s="11" t="n"/>
      <c r="B266" s="12" t="n"/>
      <c r="C266" s="12" t="n"/>
      <c r="D266" s="13" t="n"/>
      <c r="E266" s="14" t="n"/>
      <c r="F266" s="12" t="n"/>
      <c r="G266" s="15">
        <f>IF($A266="","",IF($F266="won",$E266*$D266,IF($F266="void",$E266,0)))</f>
        <v/>
      </c>
      <c r="H266" s="15">
        <f>IF($A266="","",IF(OR($F266="open",$F266=""),0,$G266-$E266))</f>
        <v/>
      </c>
      <c r="I266" s="15">
        <f>IF($A266="","",$H$1+SUM($H$4:$H266)-SUMIFS($E$4:$E266,$F$4:$F266,"open"))</f>
        <v/>
      </c>
      <c r="J266" s="12" t="n"/>
    </row>
    <row r="267" ht="15" customHeight="1" s="23">
      <c r="A267" s="11" t="n"/>
      <c r="B267" s="12" t="n"/>
      <c r="C267" s="12" t="n"/>
      <c r="D267" s="13" t="n"/>
      <c r="E267" s="14" t="n"/>
      <c r="F267" s="12" t="n"/>
      <c r="G267" s="15">
        <f>IF($A267="","",IF($F267="won",$E267*$D267,IF($F267="void",$E267,0)))</f>
        <v/>
      </c>
      <c r="H267" s="15">
        <f>IF($A267="","",IF(OR($F267="open",$F267=""),0,$G267-$E267))</f>
        <v/>
      </c>
      <c r="I267" s="15">
        <f>IF($A267="","",$H$1+SUM($H$4:$H267)-SUMIFS($E$4:$E267,$F$4:$F267,"open"))</f>
        <v/>
      </c>
      <c r="J267" s="12" t="n"/>
    </row>
    <row r="268" ht="15" customHeight="1" s="23">
      <c r="A268" s="11" t="n"/>
      <c r="B268" s="12" t="n"/>
      <c r="C268" s="12" t="n"/>
      <c r="D268" s="13" t="n"/>
      <c r="E268" s="14" t="n"/>
      <c r="F268" s="12" t="n"/>
      <c r="G268" s="15">
        <f>IF($A268="","",IF($F268="won",$E268*$D268,IF($F268="void",$E268,0)))</f>
        <v/>
      </c>
      <c r="H268" s="15">
        <f>IF($A268="","",IF(OR($F268="open",$F268=""),0,$G268-$E268))</f>
        <v/>
      </c>
      <c r="I268" s="15">
        <f>IF($A268="","",$H$1+SUM($H$4:$H268)-SUMIFS($E$4:$E268,$F$4:$F268,"open"))</f>
        <v/>
      </c>
      <c r="J268" s="12" t="n"/>
    </row>
    <row r="269" ht="15" customHeight="1" s="23">
      <c r="A269" s="11" t="n"/>
      <c r="B269" s="12" t="n"/>
      <c r="C269" s="12" t="n"/>
      <c r="D269" s="13" t="n"/>
      <c r="E269" s="14" t="n"/>
      <c r="F269" s="12" t="n"/>
      <c r="G269" s="15">
        <f>IF($A269="","",IF($F269="won",$E269*$D269,IF($F269="void",$E269,0)))</f>
        <v/>
      </c>
      <c r="H269" s="15">
        <f>IF($A269="","",IF(OR($F269="open",$F269=""),0,$G269-$E269))</f>
        <v/>
      </c>
      <c r="I269" s="15">
        <f>IF($A269="","",$H$1+SUM($H$4:$H269)-SUMIFS($E$4:$E269,$F$4:$F269,"open"))</f>
        <v/>
      </c>
      <c r="J269" s="12" t="n"/>
    </row>
    <row r="270" ht="15" customHeight="1" s="23">
      <c r="A270" s="11" t="n"/>
      <c r="B270" s="12" t="n"/>
      <c r="C270" s="12" t="n"/>
      <c r="D270" s="13" t="n"/>
      <c r="E270" s="14" t="n"/>
      <c r="F270" s="12" t="n"/>
      <c r="G270" s="15">
        <f>IF($A270="","",IF($F270="won",$E270*$D270,IF($F270="void",$E270,0)))</f>
        <v/>
      </c>
      <c r="H270" s="15">
        <f>IF($A270="","",IF(OR($F270="open",$F270=""),0,$G270-$E270))</f>
        <v/>
      </c>
      <c r="I270" s="15">
        <f>IF($A270="","",$H$1+SUM($H$4:$H270)-SUMIFS($E$4:$E270,$F$4:$F270,"open"))</f>
        <v/>
      </c>
      <c r="J270" s="12" t="n"/>
    </row>
    <row r="271" ht="15" customHeight="1" s="23">
      <c r="A271" s="11" t="n"/>
      <c r="B271" s="12" t="n"/>
      <c r="C271" s="12" t="n"/>
      <c r="D271" s="13" t="n"/>
      <c r="E271" s="14" t="n"/>
      <c r="F271" s="12" t="n"/>
      <c r="G271" s="15">
        <f>IF($A271="","",IF($F271="won",$E271*$D271,IF($F271="void",$E271,0)))</f>
        <v/>
      </c>
      <c r="H271" s="15">
        <f>IF($A271="","",IF(OR($F271="open",$F271=""),0,$G271-$E271))</f>
        <v/>
      </c>
      <c r="I271" s="15">
        <f>IF($A271="","",$H$1+SUM($H$4:$H271)-SUMIFS($E$4:$E271,$F$4:$F271,"open"))</f>
        <v/>
      </c>
      <c r="J271" s="12" t="n"/>
    </row>
    <row r="272" ht="15" customHeight="1" s="23">
      <c r="A272" s="11" t="n"/>
      <c r="B272" s="12" t="n"/>
      <c r="C272" s="12" t="n"/>
      <c r="D272" s="13" t="n"/>
      <c r="E272" s="14" t="n"/>
      <c r="F272" s="12" t="n"/>
      <c r="G272" s="15">
        <f>IF($A272="","",IF($F272="won",$E272*$D272,IF($F272="void",$E272,0)))</f>
        <v/>
      </c>
      <c r="H272" s="15">
        <f>IF($A272="","",IF(OR($F272="open",$F272=""),0,$G272-$E272))</f>
        <v/>
      </c>
      <c r="I272" s="15">
        <f>IF($A272="","",$H$1+SUM($H$4:$H272)-SUMIFS($E$4:$E272,$F$4:$F272,"open"))</f>
        <v/>
      </c>
      <c r="J272" s="12" t="n"/>
    </row>
    <row r="273" ht="15" customHeight="1" s="23">
      <c r="A273" s="11" t="n"/>
      <c r="B273" s="12" t="n"/>
      <c r="C273" s="12" t="n"/>
      <c r="D273" s="13" t="n"/>
      <c r="E273" s="14" t="n"/>
      <c r="F273" s="12" t="n"/>
      <c r="G273" s="15">
        <f>IF($A273="","",IF($F273="won",$E273*$D273,IF($F273="void",$E273,0)))</f>
        <v/>
      </c>
      <c r="H273" s="15">
        <f>IF($A273="","",IF(OR($F273="open",$F273=""),0,$G273-$E273))</f>
        <v/>
      </c>
      <c r="I273" s="15">
        <f>IF($A273="","",$H$1+SUM($H$4:$H273)-SUMIFS($E$4:$E273,$F$4:$F273,"open"))</f>
        <v/>
      </c>
      <c r="J273" s="12" t="n"/>
    </row>
    <row r="274" ht="15" customHeight="1" s="23">
      <c r="A274" s="11" t="n"/>
      <c r="B274" s="12" t="n"/>
      <c r="C274" s="12" t="n"/>
      <c r="D274" s="13" t="n"/>
      <c r="E274" s="14" t="n"/>
      <c r="F274" s="12" t="n"/>
      <c r="G274" s="15">
        <f>IF($A274="","",IF($F274="won",$E274*$D274,IF($F274="void",$E274,0)))</f>
        <v/>
      </c>
      <c r="H274" s="15">
        <f>IF($A274="","",IF(OR($F274="open",$F274=""),0,$G274-$E274))</f>
        <v/>
      </c>
      <c r="I274" s="15">
        <f>IF($A274="","",$H$1+SUM($H$4:$H274)-SUMIFS($E$4:$E274,$F$4:$F274,"open"))</f>
        <v/>
      </c>
      <c r="J274" s="12" t="n"/>
    </row>
    <row r="275" ht="15" customHeight="1" s="23">
      <c r="A275" s="11" t="n"/>
      <c r="B275" s="12" t="n"/>
      <c r="C275" s="12" t="n"/>
      <c r="D275" s="13" t="n"/>
      <c r="E275" s="14" t="n"/>
      <c r="F275" s="12" t="n"/>
      <c r="G275" s="15">
        <f>IF($A275="","",IF($F275="won",$E275*$D275,IF($F275="void",$E275,0)))</f>
        <v/>
      </c>
      <c r="H275" s="15">
        <f>IF($A275="","",IF(OR($F275="open",$F275=""),0,$G275-$E275))</f>
        <v/>
      </c>
      <c r="I275" s="15">
        <f>IF($A275="","",$H$1+SUM($H$4:$H275)-SUMIFS($E$4:$E275,$F$4:$F275,"open"))</f>
        <v/>
      </c>
      <c r="J275" s="12" t="n"/>
    </row>
    <row r="276" ht="15" customHeight="1" s="23">
      <c r="A276" s="11" t="n"/>
      <c r="B276" s="12" t="n"/>
      <c r="C276" s="12" t="n"/>
      <c r="D276" s="13" t="n"/>
      <c r="E276" s="14" t="n"/>
      <c r="F276" s="12" t="n"/>
      <c r="G276" s="15">
        <f>IF($A276="","",IF($F276="won",$E276*$D276,IF($F276="void",$E276,0)))</f>
        <v/>
      </c>
      <c r="H276" s="15">
        <f>IF($A276="","",IF(OR($F276="open",$F276=""),0,$G276-$E276))</f>
        <v/>
      </c>
      <c r="I276" s="15">
        <f>IF($A276="","",$H$1+SUM($H$4:$H276)-SUMIFS($E$4:$E276,$F$4:$F276,"open"))</f>
        <v/>
      </c>
      <c r="J276" s="12" t="n"/>
    </row>
    <row r="277" ht="15" customHeight="1" s="23">
      <c r="A277" s="11" t="n"/>
      <c r="B277" s="12" t="n"/>
      <c r="C277" s="12" t="n"/>
      <c r="D277" s="13" t="n"/>
      <c r="E277" s="14" t="n"/>
      <c r="F277" s="12" t="n"/>
      <c r="G277" s="15">
        <f>IF($A277="","",IF($F277="won",$E277*$D277,IF($F277="void",$E277,0)))</f>
        <v/>
      </c>
      <c r="H277" s="15">
        <f>IF($A277="","",IF(OR($F277="open",$F277=""),0,$G277-$E277))</f>
        <v/>
      </c>
      <c r="I277" s="15">
        <f>IF($A277="","",$H$1+SUM($H$4:$H277)-SUMIFS($E$4:$E277,$F$4:$F277,"open"))</f>
        <v/>
      </c>
      <c r="J277" s="12" t="n"/>
    </row>
    <row r="278" ht="15" customHeight="1" s="23">
      <c r="A278" s="11" t="n"/>
      <c r="B278" s="12" t="n"/>
      <c r="C278" s="12" t="n"/>
      <c r="D278" s="13" t="n"/>
      <c r="E278" s="14" t="n"/>
      <c r="F278" s="12" t="n"/>
      <c r="G278" s="15">
        <f>IF($A278="","",IF($F278="won",$E278*$D278,IF($F278="void",$E278,0)))</f>
        <v/>
      </c>
      <c r="H278" s="15">
        <f>IF($A278="","",IF(OR($F278="open",$F278=""),0,$G278-$E278))</f>
        <v/>
      </c>
      <c r="I278" s="15">
        <f>IF($A278="","",$H$1+SUM($H$4:$H278)-SUMIFS($E$4:$E278,$F$4:$F278,"open"))</f>
        <v/>
      </c>
      <c r="J278" s="12" t="n"/>
    </row>
    <row r="279" ht="15" customHeight="1" s="23">
      <c r="A279" s="11" t="n"/>
      <c r="B279" s="12" t="n"/>
      <c r="C279" s="12" t="n"/>
      <c r="D279" s="13" t="n"/>
      <c r="E279" s="14" t="n"/>
      <c r="F279" s="12" t="n"/>
      <c r="G279" s="15">
        <f>IF($A279="","",IF($F279="won",$E279*$D279,IF($F279="void",$E279,0)))</f>
        <v/>
      </c>
      <c r="H279" s="15">
        <f>IF($A279="","",IF(OR($F279="open",$F279=""),0,$G279-$E279))</f>
        <v/>
      </c>
      <c r="I279" s="15">
        <f>IF($A279="","",$H$1+SUM($H$4:$H279)-SUMIFS($E$4:$E279,$F$4:$F279,"open"))</f>
        <v/>
      </c>
      <c r="J279" s="12" t="n"/>
    </row>
    <row r="280" ht="15" customHeight="1" s="23">
      <c r="A280" s="11" t="n"/>
      <c r="B280" s="12" t="n"/>
      <c r="C280" s="12" t="n"/>
      <c r="D280" s="13" t="n"/>
      <c r="E280" s="14" t="n"/>
      <c r="F280" s="12" t="n"/>
      <c r="G280" s="15">
        <f>IF($A280="","",IF($F280="won",$E280*$D280,IF($F280="void",$E280,0)))</f>
        <v/>
      </c>
      <c r="H280" s="15">
        <f>IF($A280="","",IF(OR($F280="open",$F280=""),0,$G280-$E280))</f>
        <v/>
      </c>
      <c r="I280" s="15">
        <f>IF($A280="","",$H$1+SUM($H$4:$H280)-SUMIFS($E$4:$E280,$F$4:$F280,"open"))</f>
        <v/>
      </c>
      <c r="J280" s="12" t="n"/>
    </row>
    <row r="281" ht="15" customHeight="1" s="23">
      <c r="A281" s="11" t="n"/>
      <c r="B281" s="12" t="n"/>
      <c r="C281" s="12" t="n"/>
      <c r="D281" s="13" t="n"/>
      <c r="E281" s="14" t="n"/>
      <c r="F281" s="12" t="n"/>
      <c r="G281" s="15">
        <f>IF($A281="","",IF($F281="won",$E281*$D281,IF($F281="void",$E281,0)))</f>
        <v/>
      </c>
      <c r="H281" s="15">
        <f>IF($A281="","",IF(OR($F281="open",$F281=""),0,$G281-$E281))</f>
        <v/>
      </c>
      <c r="I281" s="15">
        <f>IF($A281="","",$H$1+SUM($H$4:$H281)-SUMIFS($E$4:$E281,$F$4:$F281,"open"))</f>
        <v/>
      </c>
      <c r="J281" s="12" t="n"/>
    </row>
    <row r="282" ht="15" customHeight="1" s="23">
      <c r="A282" s="11" t="n"/>
      <c r="B282" s="12" t="n"/>
      <c r="C282" s="12" t="n"/>
      <c r="D282" s="13" t="n"/>
      <c r="E282" s="14" t="n"/>
      <c r="F282" s="12" t="n"/>
      <c r="G282" s="15">
        <f>IF($A282="","",IF($F282="won",$E282*$D282,IF($F282="void",$E282,0)))</f>
        <v/>
      </c>
      <c r="H282" s="15">
        <f>IF($A282="","",IF(OR($F282="open",$F282=""),0,$G282-$E282))</f>
        <v/>
      </c>
      <c r="I282" s="15">
        <f>IF($A282="","",$H$1+SUM($H$4:$H282)-SUMIFS($E$4:$E282,$F$4:$F282,"open"))</f>
        <v/>
      </c>
      <c r="J282" s="12" t="n"/>
    </row>
    <row r="283" ht="15" customHeight="1" s="23">
      <c r="A283" s="11" t="n"/>
      <c r="B283" s="12" t="n"/>
      <c r="C283" s="12" t="n"/>
      <c r="D283" s="13" t="n"/>
      <c r="E283" s="14" t="n"/>
      <c r="F283" s="12" t="n"/>
      <c r="G283" s="15">
        <f>IF($A283="","",IF($F283="won",$E283*$D283,IF($F283="void",$E283,0)))</f>
        <v/>
      </c>
      <c r="H283" s="15">
        <f>IF($A283="","",IF(OR($F283="open",$F283=""),0,$G283-$E283))</f>
        <v/>
      </c>
      <c r="I283" s="15">
        <f>IF($A283="","",$H$1+SUM($H$4:$H283)-SUMIFS($E$4:$E283,$F$4:$F283,"open"))</f>
        <v/>
      </c>
      <c r="J283" s="12" t="n"/>
    </row>
    <row r="284" ht="15" customHeight="1" s="23">
      <c r="A284" s="11" t="n"/>
      <c r="B284" s="12" t="n"/>
      <c r="C284" s="12" t="n"/>
      <c r="D284" s="13" t="n"/>
      <c r="E284" s="14" t="n"/>
      <c r="F284" s="12" t="n"/>
      <c r="G284" s="15">
        <f>IF($A284="","",IF($F284="won",$E284*$D284,IF($F284="void",$E284,0)))</f>
        <v/>
      </c>
      <c r="H284" s="15">
        <f>IF($A284="","",IF(OR($F284="open",$F284=""),0,$G284-$E284))</f>
        <v/>
      </c>
      <c r="I284" s="15">
        <f>IF($A284="","",$H$1+SUM($H$4:$H284)-SUMIFS($E$4:$E284,$F$4:$F284,"open"))</f>
        <v/>
      </c>
      <c r="J284" s="12" t="n"/>
    </row>
    <row r="285" ht="15" customHeight="1" s="23">
      <c r="A285" s="11" t="n"/>
      <c r="B285" s="12" t="n"/>
      <c r="C285" s="12" t="n"/>
      <c r="D285" s="13" t="n"/>
      <c r="E285" s="14" t="n"/>
      <c r="F285" s="12" t="n"/>
      <c r="G285" s="15">
        <f>IF($A285="","",IF($F285="won",$E285*$D285,IF($F285="void",$E285,0)))</f>
        <v/>
      </c>
      <c r="H285" s="15">
        <f>IF($A285="","",IF(OR($F285="open",$F285=""),0,$G285-$E285))</f>
        <v/>
      </c>
      <c r="I285" s="15">
        <f>IF($A285="","",$H$1+SUM($H$4:$H285)-SUMIFS($E$4:$E285,$F$4:$F285,"open"))</f>
        <v/>
      </c>
      <c r="J285" s="12" t="n"/>
    </row>
    <row r="286" ht="15" customHeight="1" s="23">
      <c r="A286" s="11" t="n"/>
      <c r="B286" s="12" t="n"/>
      <c r="C286" s="12" t="n"/>
      <c r="D286" s="13" t="n"/>
      <c r="E286" s="14" t="n"/>
      <c r="F286" s="12" t="n"/>
      <c r="G286" s="15">
        <f>IF($A286="","",IF($F286="won",$E286*$D286,IF($F286="void",$E286,0)))</f>
        <v/>
      </c>
      <c r="H286" s="15">
        <f>IF($A286="","",IF(OR($F286="open",$F286=""),0,$G286-$E286))</f>
        <v/>
      </c>
      <c r="I286" s="15">
        <f>IF($A286="","",$H$1+SUM($H$4:$H286)-SUMIFS($E$4:$E286,$F$4:$F286,"open"))</f>
        <v/>
      </c>
      <c r="J286" s="12" t="n"/>
    </row>
    <row r="287" ht="15" customHeight="1" s="23">
      <c r="A287" s="11" t="n"/>
      <c r="B287" s="12" t="n"/>
      <c r="C287" s="12" t="n"/>
      <c r="D287" s="13" t="n"/>
      <c r="E287" s="14" t="n"/>
      <c r="F287" s="12" t="n"/>
      <c r="G287" s="15">
        <f>IF($A287="","",IF($F287="won",$E287*$D287,IF($F287="void",$E287,0)))</f>
        <v/>
      </c>
      <c r="H287" s="15">
        <f>IF($A287="","",IF(OR($F287="open",$F287=""),0,$G287-$E287))</f>
        <v/>
      </c>
      <c r="I287" s="15">
        <f>IF($A287="","",$H$1+SUM($H$4:$H287)-SUMIFS($E$4:$E287,$F$4:$F287,"open"))</f>
        <v/>
      </c>
      <c r="J287" s="12" t="n"/>
    </row>
    <row r="288" ht="15" customHeight="1" s="23">
      <c r="A288" s="11" t="n"/>
      <c r="B288" s="12" t="n"/>
      <c r="C288" s="12" t="n"/>
      <c r="D288" s="13" t="n"/>
      <c r="E288" s="14" t="n"/>
      <c r="F288" s="12" t="n"/>
      <c r="G288" s="15">
        <f>IF($A288="","",IF($F288="won",$E288*$D288,IF($F288="void",$E288,0)))</f>
        <v/>
      </c>
      <c r="H288" s="15">
        <f>IF($A288="","",IF(OR($F288="open",$F288=""),0,$G288-$E288))</f>
        <v/>
      </c>
      <c r="I288" s="15">
        <f>IF($A288="","",$H$1+SUM($H$4:$H288)-SUMIFS($E$4:$E288,$F$4:$F288,"open"))</f>
        <v/>
      </c>
      <c r="J288" s="12" t="n"/>
    </row>
    <row r="289" ht="15" customHeight="1" s="23">
      <c r="A289" s="11" t="n"/>
      <c r="B289" s="12" t="n"/>
      <c r="C289" s="12" t="n"/>
      <c r="D289" s="13" t="n"/>
      <c r="E289" s="14" t="n"/>
      <c r="F289" s="12" t="n"/>
      <c r="G289" s="15">
        <f>IF($A289="","",IF($F289="won",$E289*$D289,IF($F289="void",$E289,0)))</f>
        <v/>
      </c>
      <c r="H289" s="15">
        <f>IF($A289="","",IF(OR($F289="open",$F289=""),0,$G289-$E289))</f>
        <v/>
      </c>
      <c r="I289" s="15">
        <f>IF($A289="","",$H$1+SUM($H$4:$H289)-SUMIFS($E$4:$E289,$F$4:$F289,"open"))</f>
        <v/>
      </c>
      <c r="J289" s="12" t="n"/>
    </row>
    <row r="290" ht="15" customHeight="1" s="23">
      <c r="A290" s="11" t="n"/>
      <c r="B290" s="12" t="n"/>
      <c r="C290" s="12" t="n"/>
      <c r="D290" s="13" t="n"/>
      <c r="E290" s="14" t="n"/>
      <c r="F290" s="12" t="n"/>
      <c r="G290" s="15">
        <f>IF($A290="","",IF($F290="won",$E290*$D290,IF($F290="void",$E290,0)))</f>
        <v/>
      </c>
      <c r="H290" s="15">
        <f>IF($A290="","",IF(OR($F290="open",$F290=""),0,$G290-$E290))</f>
        <v/>
      </c>
      <c r="I290" s="15">
        <f>IF($A290="","",$H$1+SUM($H$4:$H290)-SUMIFS($E$4:$E290,$F$4:$F290,"open"))</f>
        <v/>
      </c>
      <c r="J290" s="12" t="n"/>
    </row>
    <row r="291" ht="15" customHeight="1" s="23">
      <c r="A291" s="11" t="n"/>
      <c r="B291" s="12" t="n"/>
      <c r="C291" s="12" t="n"/>
      <c r="D291" s="13" t="n"/>
      <c r="E291" s="14" t="n"/>
      <c r="F291" s="12" t="n"/>
      <c r="G291" s="15">
        <f>IF($A291="","",IF($F291="won",$E291*$D291,IF($F291="void",$E291,0)))</f>
        <v/>
      </c>
      <c r="H291" s="15">
        <f>IF($A291="","",IF(OR($F291="open",$F291=""),0,$G291-$E291))</f>
        <v/>
      </c>
      <c r="I291" s="15">
        <f>IF($A291="","",$H$1+SUM($H$4:$H291)-SUMIFS($E$4:$E291,$F$4:$F291,"open"))</f>
        <v/>
      </c>
      <c r="J291" s="12" t="n"/>
    </row>
    <row r="292" ht="15" customHeight="1" s="23">
      <c r="A292" s="11" t="n"/>
      <c r="B292" s="12" t="n"/>
      <c r="C292" s="12" t="n"/>
      <c r="D292" s="13" t="n"/>
      <c r="E292" s="14" t="n"/>
      <c r="F292" s="12" t="n"/>
      <c r="G292" s="15">
        <f>IF($A292="","",IF($F292="won",$E292*$D292,IF($F292="void",$E292,0)))</f>
        <v/>
      </c>
      <c r="H292" s="15">
        <f>IF($A292="","",IF(OR($F292="open",$F292=""),0,$G292-$E292))</f>
        <v/>
      </c>
      <c r="I292" s="15">
        <f>IF($A292="","",$H$1+SUM($H$4:$H292)-SUMIFS($E$4:$E292,$F$4:$F292,"open"))</f>
        <v/>
      </c>
      <c r="J292" s="12" t="n"/>
    </row>
    <row r="293" ht="15" customHeight="1" s="23">
      <c r="A293" s="11" t="n"/>
      <c r="B293" s="12" t="n"/>
      <c r="C293" s="12" t="n"/>
      <c r="D293" s="13" t="n"/>
      <c r="E293" s="14" t="n"/>
      <c r="F293" s="12" t="n"/>
      <c r="G293" s="15">
        <f>IF($A293="","",IF($F293="won",$E293*$D293,IF($F293="void",$E293,0)))</f>
        <v/>
      </c>
      <c r="H293" s="15">
        <f>IF($A293="","",IF(OR($F293="open",$F293=""),0,$G293-$E293))</f>
        <v/>
      </c>
      <c r="I293" s="15">
        <f>IF($A293="","",$H$1+SUM($H$4:$H293)-SUMIFS($E$4:$E293,$F$4:$F293,"open"))</f>
        <v/>
      </c>
      <c r="J293" s="12" t="n"/>
    </row>
    <row r="294" ht="15" customHeight="1" s="23">
      <c r="A294" s="11" t="n"/>
      <c r="B294" s="12" t="n"/>
      <c r="C294" s="12" t="n"/>
      <c r="D294" s="13" t="n"/>
      <c r="E294" s="14" t="n"/>
      <c r="F294" s="12" t="n"/>
      <c r="G294" s="15">
        <f>IF($A294="","",IF($F294="won",$E294*$D294,IF($F294="void",$E294,0)))</f>
        <v/>
      </c>
      <c r="H294" s="15">
        <f>IF($A294="","",IF(OR($F294="open",$F294=""),0,$G294-$E294))</f>
        <v/>
      </c>
      <c r="I294" s="15">
        <f>IF($A294="","",$H$1+SUM($H$4:$H294)-SUMIFS($E$4:$E294,$F$4:$F294,"open"))</f>
        <v/>
      </c>
      <c r="J294" s="12" t="n"/>
    </row>
    <row r="295" ht="15" customHeight="1" s="23">
      <c r="A295" s="11" t="n"/>
      <c r="B295" s="12" t="n"/>
      <c r="C295" s="12" t="n"/>
      <c r="D295" s="13" t="n"/>
      <c r="E295" s="14" t="n"/>
      <c r="F295" s="12" t="n"/>
      <c r="G295" s="15">
        <f>IF($A295="","",IF($F295="won",$E295*$D295,IF($F295="void",$E295,0)))</f>
        <v/>
      </c>
      <c r="H295" s="15">
        <f>IF($A295="","",IF(OR($F295="open",$F295=""),0,$G295-$E295))</f>
        <v/>
      </c>
      <c r="I295" s="15">
        <f>IF($A295="","",$H$1+SUM($H$4:$H295)-SUMIFS($E$4:$E295,$F$4:$F295,"open"))</f>
        <v/>
      </c>
      <c r="J295" s="12" t="n"/>
    </row>
    <row r="296" ht="15" customHeight="1" s="23">
      <c r="A296" s="11" t="n"/>
      <c r="B296" s="12" t="n"/>
      <c r="C296" s="12" t="n"/>
      <c r="D296" s="13" t="n"/>
      <c r="E296" s="14" t="n"/>
      <c r="F296" s="12" t="n"/>
      <c r="G296" s="15">
        <f>IF($A296="","",IF($F296="won",$E296*$D296,IF($F296="void",$E296,0)))</f>
        <v/>
      </c>
      <c r="H296" s="15">
        <f>IF($A296="","",IF(OR($F296="open",$F296=""),0,$G296-$E296))</f>
        <v/>
      </c>
      <c r="I296" s="15">
        <f>IF($A296="","",$H$1+SUM($H$4:$H296)-SUMIFS($E$4:$E296,$F$4:$F296,"open"))</f>
        <v/>
      </c>
      <c r="J296" s="12" t="n"/>
    </row>
    <row r="297" ht="15" customHeight="1" s="23">
      <c r="A297" s="11" t="n"/>
      <c r="B297" s="12" t="n"/>
      <c r="C297" s="12" t="n"/>
      <c r="D297" s="13" t="n"/>
      <c r="E297" s="14" t="n"/>
      <c r="F297" s="12" t="n"/>
      <c r="G297" s="15">
        <f>IF($A297="","",IF($F297="won",$E297*$D297,IF($F297="void",$E297,0)))</f>
        <v/>
      </c>
      <c r="H297" s="15">
        <f>IF($A297="","",IF(OR($F297="open",$F297=""),0,$G297-$E297))</f>
        <v/>
      </c>
      <c r="I297" s="15">
        <f>IF($A297="","",$H$1+SUM($H$4:$H297)-SUMIFS($E$4:$E297,$F$4:$F297,"open"))</f>
        <v/>
      </c>
      <c r="J297" s="12" t="n"/>
    </row>
  </sheetData>
  <dataValidations count="1">
    <dataValidation sqref="F4:F297" showDropDown="0" showInputMessage="0" showErrorMessage="1" allowBlank="1" error="Use: open, won, lost or void" type="list">
      <formula1>"open,won,lost,void"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3"/>
  <sheetViews>
    <sheetView tabSelected="1" zoomScale="130" zoomScaleNormal="130" workbookViewId="0">
      <pane ySplit="1" topLeftCell="A2" activePane="bottomLeft" state="frozen"/>
      <selection pane="bottomLeft" activeCell="B17" sqref="B17"/>
    </sheetView>
  </sheetViews>
  <sheetFormatPr baseColWidth="10" defaultColWidth="8.6640625" defaultRowHeight="15"/>
  <cols>
    <col width="11" customWidth="1" style="23" min="1" max="2"/>
    <col width="14" customWidth="1" style="23" min="3" max="4"/>
    <col width="9" customWidth="1" style="23" min="5" max="5"/>
    <col width="32" customWidth="1" style="23" min="6" max="6"/>
    <col width="7" customWidth="1" style="23" min="7" max="7"/>
    <col width="9" customWidth="1" style="23" min="8" max="8"/>
    <col width="8" customWidth="1" style="23" min="9" max="9"/>
    <col width="9" customWidth="1" style="23" min="10" max="10"/>
    <col width="13" customWidth="1" style="23" min="11" max="11"/>
  </cols>
  <sheetData>
    <row r="1" ht="15" customHeight="1" s="23">
      <c r="A1" s="16" t="inlineStr">
        <is>
          <t>placed_on</t>
        </is>
      </c>
      <c r="B1" s="16" t="inlineStr">
        <is>
          <t>match_date</t>
        </is>
      </c>
      <c r="C1" s="16" t="inlineStr">
        <is>
          <t>home</t>
        </is>
      </c>
      <c r="D1" s="16" t="inlineStr">
        <is>
          <t>away</t>
        </is>
      </c>
      <c r="E1" s="16" t="inlineStr">
        <is>
          <t>side</t>
        </is>
      </c>
      <c r="F1" s="16" t="inlineStr">
        <is>
          <t>bet</t>
        </is>
      </c>
      <c r="G1" s="16" t="inlineStr">
        <is>
          <t>odds</t>
        </is>
      </c>
      <c r="H1" s="16" t="inlineStr">
        <is>
          <t>stake</t>
        </is>
      </c>
      <c r="I1" s="16" t="inlineStr">
        <is>
          <t>status</t>
        </is>
      </c>
      <c r="J1" s="16" t="inlineStr">
        <is>
          <t>pnl</t>
        </is>
      </c>
      <c r="K1" s="16" t="inlineStr">
        <is>
          <t>bankroll_after</t>
        </is>
      </c>
      <c r="L1" s="20" t="inlineStr">
        <is>
          <t>clv</t>
        </is>
      </c>
      <c r="M1" s="9" t="inlineStr">
        <is>
          <t>Auto-refreshed by update.sh — do not edit; add your own bets in 'My Bets'.</t>
        </is>
      </c>
    </row>
    <row r="2" ht="15" customHeight="1" s="23">
      <c r="A2" s="17" t="n"/>
      <c r="B2" s="17" t="n"/>
      <c r="C2" s="17" t="n"/>
      <c r="D2" s="17" t="n"/>
      <c r="E2" s="17" t="n"/>
      <c r="F2" s="17" t="n"/>
      <c r="G2" s="18" t="n"/>
      <c r="H2" s="24" t="n"/>
      <c r="I2" s="17" t="n"/>
      <c r="J2" s="24" t="n"/>
      <c r="K2" s="24" t="n"/>
      <c r="L2" s="25" t="n"/>
    </row>
    <row r="3" ht="15" customHeight="1" s="23">
      <c r="A3" s="17" t="n"/>
      <c r="B3" s="17" t="n"/>
      <c r="C3" s="17" t="n"/>
      <c r="D3" s="17" t="n"/>
      <c r="E3" s="17" t="n"/>
      <c r="F3" s="17" t="n"/>
      <c r="G3" s="18" t="n"/>
      <c r="H3" s="24" t="n"/>
      <c r="I3" s="17" t="n"/>
      <c r="J3" s="24" t="n"/>
      <c r="K3" s="24" t="n"/>
      <c r="L3" s="25" t="n"/>
    </row>
    <row r="4" ht="15" customHeight="1" s="23">
      <c r="A4" s="17" t="n"/>
      <c r="B4" s="17" t="n"/>
      <c r="C4" s="17" t="n"/>
      <c r="D4" s="17" t="n"/>
      <c r="E4" s="17" t="n"/>
      <c r="F4" s="17" t="n"/>
      <c r="G4" s="18" t="n"/>
      <c r="H4" s="24" t="n"/>
      <c r="I4" s="17" t="n"/>
      <c r="J4" s="24" t="n"/>
      <c r="K4" s="24" t="n"/>
      <c r="L4" s="25" t="n"/>
    </row>
    <row r="5" ht="15" customHeight="1" s="23">
      <c r="A5" s="17" t="n"/>
      <c r="B5" s="17" t="n"/>
      <c r="C5" s="17" t="n"/>
      <c r="D5" s="17" t="n"/>
      <c r="E5" s="17" t="n"/>
      <c r="F5" s="17" t="n"/>
      <c r="G5" s="18" t="n"/>
      <c r="H5" s="24" t="n"/>
      <c r="I5" s="17" t="n"/>
      <c r="J5" s="24" t="n"/>
      <c r="K5" s="24" t="n"/>
      <c r="L5" s="25" t="n"/>
    </row>
    <row r="6" ht="15" customHeight="1" s="23">
      <c r="A6" s="17" t="n"/>
      <c r="B6" s="17" t="n"/>
      <c r="C6" s="17" t="n"/>
      <c r="D6" s="17" t="n"/>
      <c r="E6" s="17" t="n"/>
      <c r="F6" s="17" t="n"/>
      <c r="G6" s="18" t="n"/>
      <c r="H6" s="24" t="n"/>
      <c r="I6" s="17" t="n"/>
      <c r="J6" s="24" t="n"/>
      <c r="K6" s="24" t="n"/>
      <c r="L6" s="25" t="n"/>
    </row>
    <row r="7" ht="15" customHeight="1" s="23">
      <c r="A7" s="17" t="n"/>
      <c r="B7" s="17" t="n"/>
      <c r="C7" s="17" t="n"/>
      <c r="D7" s="17" t="n"/>
      <c r="E7" s="17" t="n"/>
      <c r="F7" s="17" t="n"/>
      <c r="G7" s="18" t="n"/>
      <c r="H7" s="24" t="n"/>
      <c r="I7" s="17" t="n"/>
      <c r="J7" s="24" t="n"/>
      <c r="K7" s="24" t="n"/>
      <c r="L7" s="25" t="n"/>
    </row>
    <row r="8">
      <c r="A8" s="17" t="n"/>
      <c r="B8" s="17" t="n"/>
      <c r="C8" s="17" t="n"/>
      <c r="D8" s="17" t="n"/>
      <c r="E8" s="17" t="n"/>
      <c r="F8" s="17" t="n"/>
      <c r="G8" s="18" t="n"/>
      <c r="H8" s="24" t="n"/>
      <c r="I8" s="17" t="n"/>
      <c r="J8" s="24" t="n"/>
      <c r="K8" s="24" t="n"/>
      <c r="L8" s="25" t="n"/>
    </row>
    <row r="9">
      <c r="A9" s="17" t="n"/>
      <c r="B9" s="17" t="n"/>
      <c r="C9" s="17" t="n"/>
      <c r="D9" s="17" t="n"/>
      <c r="E9" s="17" t="n"/>
      <c r="F9" s="17" t="n"/>
      <c r="G9" s="18" t="n"/>
      <c r="H9" s="24" t="n"/>
      <c r="I9" s="17" t="n"/>
      <c r="J9" s="24" t="n"/>
      <c r="K9" s="24" t="n"/>
      <c r="L9" s="25" t="n"/>
    </row>
    <row r="10">
      <c r="A10" s="17" t="n"/>
      <c r="B10" s="17" t="n"/>
      <c r="C10" s="17" t="n"/>
      <c r="D10" s="17" t="n"/>
      <c r="E10" s="17" t="n"/>
      <c r="F10" s="17" t="n"/>
      <c r="G10" s="18" t="n"/>
      <c r="H10" s="24" t="n"/>
      <c r="I10" s="17" t="n"/>
      <c r="J10" s="24" t="n"/>
      <c r="K10" s="24" t="n"/>
      <c r="L10" s="25" t="n"/>
    </row>
    <row r="11">
      <c r="A11" s="17" t="n"/>
      <c r="B11" s="17" t="n"/>
      <c r="C11" s="17" t="n"/>
      <c r="D11" s="17" t="n"/>
      <c r="E11" s="17" t="n"/>
      <c r="F11" s="17" t="n"/>
      <c r="G11" s="18" t="n"/>
      <c r="H11" s="24" t="n"/>
      <c r="I11" s="17" t="n"/>
      <c r="J11" s="24" t="n"/>
      <c r="K11" s="24" t="n"/>
      <c r="L11" s="25" t="n"/>
    </row>
    <row r="12">
      <c r="A12" s="17" t="n"/>
      <c r="B12" s="17" t="n"/>
      <c r="C12" s="17" t="n"/>
      <c r="D12" s="17" t="n"/>
      <c r="E12" s="17" t="n"/>
      <c r="F12" s="17" t="n"/>
      <c r="G12" s="18" t="n"/>
      <c r="H12" s="24" t="n"/>
      <c r="I12" s="17" t="n"/>
      <c r="J12" s="24" t="n"/>
      <c r="K12" s="24" t="n"/>
      <c r="L12" s="25" t="n"/>
    </row>
    <row r="13">
      <c r="A13" s="17" t="n"/>
      <c r="B13" s="17" t="n"/>
      <c r="C13" s="17" t="n"/>
      <c r="D13" s="17" t="n"/>
      <c r="E13" s="17" t="n"/>
      <c r="F13" s="17" t="n"/>
      <c r="G13" s="18" t="n"/>
      <c r="H13" s="24" t="n"/>
      <c r="I13" s="17" t="n"/>
      <c r="J13" s="24" t="n"/>
      <c r="K13" s="24" t="n"/>
      <c r="L13" s="25" t="n"/>
    </row>
    <row r="14">
      <c r="A14" s="17" t="n"/>
      <c r="B14" s="17" t="n"/>
      <c r="C14" s="17" t="n"/>
      <c r="D14" s="17" t="n"/>
      <c r="E14" s="17" t="n"/>
      <c r="F14" s="17" t="n"/>
      <c r="G14" s="18" t="n"/>
      <c r="H14" s="24" t="n"/>
      <c r="I14" s="17" t="n"/>
      <c r="J14" s="24" t="n"/>
      <c r="K14" s="24" t="n"/>
      <c r="L14" s="25" t="n"/>
    </row>
    <row r="15">
      <c r="A15" s="17" t="n"/>
      <c r="B15" s="17" t="n"/>
      <c r="C15" s="17" t="n"/>
      <c r="D15" s="17" t="n"/>
      <c r="E15" s="17" t="n"/>
      <c r="F15" s="17" t="n"/>
      <c r="G15" s="18" t="n"/>
      <c r="H15" s="24" t="n"/>
      <c r="I15" s="17" t="n"/>
      <c r="J15" s="24" t="n"/>
      <c r="K15" s="24" t="n"/>
      <c r="L15" s="25" t="n"/>
    </row>
    <row r="16">
      <c r="A16" s="17" t="n"/>
      <c r="B16" s="17" t="n"/>
      <c r="C16" s="17" t="n"/>
      <c r="D16" s="17" t="n"/>
      <c r="E16" s="17" t="n"/>
      <c r="F16" s="17" t="n"/>
      <c r="G16" s="18" t="n"/>
      <c r="H16" s="24" t="n"/>
      <c r="I16" s="17" t="n"/>
      <c r="J16" s="24" t="n"/>
      <c r="K16" s="24" t="n"/>
      <c r="L16" s="25" t="n"/>
    </row>
    <row r="17">
      <c r="A17" s="17" t="n"/>
      <c r="B17" s="17" t="n"/>
      <c r="C17" s="17" t="n"/>
      <c r="D17" s="17" t="n"/>
      <c r="E17" s="17" t="n"/>
      <c r="F17" s="17" t="n"/>
      <c r="G17" s="18" t="n"/>
      <c r="H17" s="24" t="n"/>
      <c r="I17" s="17" t="n"/>
      <c r="J17" s="24" t="n"/>
      <c r="K17" s="24" t="n"/>
      <c r="L17" s="25" t="n"/>
    </row>
    <row r="18">
      <c r="A18" s="17" t="n"/>
      <c r="B18" s="17" t="n"/>
      <c r="C18" s="17" t="n"/>
      <c r="D18" s="17" t="n"/>
      <c r="E18" s="17" t="n"/>
      <c r="F18" s="17" t="n"/>
      <c r="G18" s="18" t="n"/>
      <c r="H18" s="24" t="n"/>
      <c r="I18" s="17" t="n"/>
      <c r="J18" s="24" t="n"/>
      <c r="K18" s="24" t="n"/>
      <c r="L18" s="25" t="n"/>
    </row>
    <row r="19">
      <c r="A19" s="17" t="n"/>
      <c r="B19" s="17" t="n"/>
      <c r="C19" s="17" t="n"/>
      <c r="D19" s="17" t="n"/>
      <c r="E19" s="17" t="n"/>
      <c r="F19" s="17" t="n"/>
      <c r="G19" s="18" t="n"/>
      <c r="H19" s="24" t="n"/>
      <c r="I19" s="17" t="n"/>
      <c r="J19" s="24" t="n"/>
      <c r="K19" s="24" t="n"/>
      <c r="L19" s="25" t="n"/>
    </row>
    <row r="20">
      <c r="A20" s="17" t="n"/>
      <c r="B20" s="17" t="n"/>
      <c r="C20" s="17" t="n"/>
      <c r="D20" s="17" t="n"/>
      <c r="E20" s="17" t="n"/>
      <c r="F20" s="17" t="n"/>
      <c r="G20" s="18" t="n"/>
      <c r="H20" s="24" t="n"/>
      <c r="I20" s="17" t="n"/>
      <c r="J20" s="24" t="n"/>
      <c r="K20" s="24" t="n"/>
      <c r="L20" s="25" t="n"/>
    </row>
    <row r="21">
      <c r="A21" s="17" t="n"/>
      <c r="B21" s="17" t="n"/>
      <c r="C21" s="17" t="n"/>
      <c r="D21" s="17" t="n"/>
      <c r="E21" s="17" t="n"/>
      <c r="F21" s="17" t="n"/>
      <c r="G21" s="18" t="n"/>
      <c r="H21" s="24" t="n"/>
      <c r="I21" s="17" t="n"/>
      <c r="J21" s="24" t="n"/>
      <c r="K21" s="24" t="n"/>
      <c r="L21" s="25" t="n"/>
    </row>
    <row r="22">
      <c r="A22" s="17" t="n"/>
      <c r="B22" s="17" t="n"/>
      <c r="C22" s="17" t="n"/>
      <c r="D22" s="17" t="n"/>
      <c r="E22" s="17" t="n"/>
      <c r="F22" s="17" t="n"/>
      <c r="G22" s="18" t="n"/>
      <c r="H22" s="24" t="n"/>
      <c r="I22" s="17" t="n"/>
      <c r="J22" s="24" t="n"/>
      <c r="K22" s="24" t="n"/>
      <c r="L22" s="25" t="n"/>
    </row>
    <row r="23">
      <c r="A23" s="17" t="n"/>
      <c r="B23" s="17" t="n"/>
      <c r="C23" s="17" t="n"/>
      <c r="D23" s="17" t="n"/>
      <c r="E23" s="17" t="n"/>
      <c r="F23" s="17" t="n"/>
      <c r="G23" s="18" t="n"/>
      <c r="H23" s="24" t="n"/>
      <c r="I23" s="17" t="n"/>
      <c r="J23" s="24" t="n"/>
      <c r="K23" s="24" t="n"/>
      <c r="L23" s="25" t="n"/>
    </row>
    <row r="24">
      <c r="A24" s="17" t="n"/>
      <c r="B24" s="17" t="n"/>
      <c r="C24" s="17" t="n"/>
      <c r="D24" s="17" t="n"/>
      <c r="E24" s="17" t="n"/>
      <c r="F24" s="17" t="n"/>
      <c r="G24" s="18" t="n"/>
      <c r="H24" s="24" t="n"/>
      <c r="I24" s="17" t="n"/>
      <c r="J24" s="24" t="n"/>
      <c r="K24" s="24" t="n"/>
      <c r="L24" s="25" t="n"/>
    </row>
    <row r="25">
      <c r="A25" s="17" t="n"/>
      <c r="B25" s="17" t="n"/>
      <c r="C25" s="17" t="n"/>
      <c r="D25" s="17" t="n"/>
      <c r="E25" s="17" t="n"/>
      <c r="F25" s="17" t="n"/>
      <c r="G25" s="18" t="n"/>
      <c r="H25" s="24" t="n"/>
      <c r="I25" s="17" t="n"/>
      <c r="J25" s="24" t="n"/>
      <c r="K25" s="24" t="n"/>
      <c r="L25" s="25" t="n"/>
    </row>
    <row r="26">
      <c r="A26" s="17" t="n"/>
      <c r="B26" s="17" t="n"/>
      <c r="C26" s="17" t="n"/>
      <c r="D26" s="17" t="n"/>
      <c r="E26" s="17" t="n"/>
      <c r="F26" s="17" t="n"/>
      <c r="G26" s="18" t="n"/>
      <c r="H26" s="24" t="n"/>
      <c r="I26" s="17" t="n"/>
      <c r="J26" s="24" t="n"/>
      <c r="K26" s="24" t="n"/>
      <c r="L26" s="25" t="n"/>
    </row>
    <row r="27">
      <c r="A27" s="17" t="n"/>
      <c r="B27" s="17" t="n"/>
      <c r="C27" s="17" t="n"/>
      <c r="D27" s="17" t="n"/>
      <c r="E27" s="17" t="n"/>
      <c r="F27" s="17" t="n"/>
      <c r="G27" s="18" t="n"/>
      <c r="H27" s="24" t="n"/>
      <c r="I27" s="17" t="n"/>
      <c r="J27" s="24" t="n"/>
      <c r="K27" s="24" t="n"/>
      <c r="L27" s="25" t="n"/>
    </row>
    <row r="28">
      <c r="A28" s="17" t="n"/>
      <c r="B28" s="17" t="n"/>
      <c r="C28" s="17" t="n"/>
      <c r="D28" s="17" t="n"/>
      <c r="E28" s="17" t="n"/>
      <c r="F28" s="17" t="n"/>
      <c r="G28" s="18" t="n"/>
      <c r="H28" s="24" t="n"/>
      <c r="I28" s="17" t="n"/>
      <c r="J28" s="24" t="n"/>
      <c r="K28" s="24" t="n"/>
      <c r="L28" s="25" t="n"/>
    </row>
    <row r="29">
      <c r="A29" s="17" t="n"/>
      <c r="B29" s="17" t="n"/>
      <c r="C29" s="17" t="n"/>
      <c r="D29" s="17" t="n"/>
      <c r="E29" s="17" t="n"/>
      <c r="F29" s="17" t="n"/>
      <c r="G29" s="18" t="n"/>
      <c r="H29" s="24" t="n"/>
      <c r="I29" s="17" t="n"/>
      <c r="J29" s="24" t="n"/>
      <c r="K29" s="24" t="n"/>
      <c r="L29" s="25" t="n"/>
    </row>
    <row r="30">
      <c r="A30" s="17" t="n"/>
      <c r="B30" s="17" t="n"/>
      <c r="C30" s="17" t="n"/>
      <c r="D30" s="17" t="n"/>
      <c r="E30" s="17" t="n"/>
      <c r="F30" s="17" t="n"/>
      <c r="G30" s="18" t="n"/>
      <c r="H30" s="24" t="n"/>
      <c r="I30" s="17" t="n"/>
      <c r="J30" s="24" t="n"/>
      <c r="K30" s="24" t="n"/>
      <c r="L30" s="25" t="n"/>
    </row>
    <row r="31">
      <c r="A31" s="17" t="n"/>
      <c r="B31" s="17" t="n"/>
      <c r="C31" s="17" t="n"/>
      <c r="D31" s="17" t="n"/>
      <c r="E31" s="17" t="n"/>
      <c r="F31" s="17" t="n"/>
      <c r="G31" s="18" t="n"/>
      <c r="H31" s="24" t="n"/>
      <c r="I31" s="17" t="n"/>
      <c r="J31" s="24" t="n"/>
      <c r="K31" s="24" t="n"/>
      <c r="L31" s="25" t="n"/>
    </row>
    <row r="32">
      <c r="A32" s="17" t="n"/>
      <c r="B32" s="17" t="n"/>
      <c r="C32" s="17" t="n"/>
      <c r="D32" s="17" t="n"/>
      <c r="E32" s="17" t="n"/>
      <c r="F32" s="17" t="n"/>
      <c r="G32" s="18" t="n"/>
      <c r="H32" s="24" t="n"/>
      <c r="I32" s="17" t="n"/>
      <c r="J32" s="24" t="n"/>
      <c r="K32" s="24" t="n"/>
      <c r="L32" s="25" t="n"/>
    </row>
    <row r="33">
      <c r="A33" s="17" t="n"/>
      <c r="B33" s="17" t="n"/>
      <c r="C33" s="17" t="n"/>
      <c r="D33" s="17" t="n"/>
      <c r="E33" s="17" t="n"/>
      <c r="F33" s="17" t="n"/>
      <c r="G33" s="18" t="n"/>
      <c r="H33" s="24" t="n"/>
      <c r="I33" s="17" t="n"/>
      <c r="J33" s="24" t="n"/>
      <c r="K33" s="24" t="n"/>
      <c r="L33" s="25" t="n"/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Betting Tracker Example</dc:title>
  <dc:language xmlns:dc="http://purl.org/dc/elements/1.1/">en-US</dc:language>
  <dcterms:created xmlns:dcterms="http://purl.org/dc/terms/" xmlns:xsi="http://www.w3.org/2001/XMLSchema-instance" xsi:type="dcterms:W3CDTF">2026-06-11T19:21:52Z</dcterms:created>
  <dcterms:modified xmlns:dcterms="http://purl.org/dc/terms/" xmlns:xsi="http://www.w3.org/2001/XMLSchema-instance" xsi:type="dcterms:W3CDTF">2026-06-16T00:56:29Z</dcterms:modified>
  <cp:lastModifiedBy>Barrie Jones</cp:lastModifiedBy>
  <cp:revision>0</cp:revision>
</cp:coreProperties>
</file>