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lucky/Documents/Claude/Projects/Soccer Prediction/"/>
    </mc:Choice>
  </mc:AlternateContent>
  <xr:revisionPtr revIDLastSave="0" documentId="13_ncr:1_{05D75B00-E307-7A42-84A6-FF0E4646565C}" xr6:coauthVersionLast="47" xr6:coauthVersionMax="47" xr10:uidLastSave="{00000000-0000-0000-0000-000000000000}"/>
  <bookViews>
    <workbookView xWindow="0" yWindow="680" windowWidth="34200" windowHeight="21460" tabRatio="500" activeTab="2" xr2:uid="{00000000-000D-0000-FFFF-FFFF00000000}"/>
  </bookViews>
  <sheets>
    <sheet name="Dashboard" sheetId="1" r:id="rId1"/>
    <sheet name="My Bets" sheetId="2" r:id="rId2"/>
    <sheet name="Project Ledger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2" i="1" l="1"/>
  <c r="B18" i="1"/>
  <c r="B17" i="1"/>
  <c r="B16" i="1"/>
  <c r="B15" i="1"/>
  <c r="B14" i="1"/>
  <c r="B9" i="1"/>
  <c r="B8" i="1"/>
  <c r="B7" i="1"/>
  <c r="B6" i="1"/>
  <c r="A2" i="1"/>
  <c r="I297" i="2"/>
  <c r="H297" i="2"/>
  <c r="G297" i="2"/>
  <c r="I296" i="2"/>
  <c r="H296" i="2"/>
  <c r="G296" i="2"/>
  <c r="I295" i="2"/>
  <c r="H295" i="2"/>
  <c r="G295" i="2"/>
  <c r="I294" i="2"/>
  <c r="H294" i="2"/>
  <c r="G294" i="2"/>
  <c r="I293" i="2"/>
  <c r="H293" i="2"/>
  <c r="G293" i="2"/>
  <c r="I292" i="2"/>
  <c r="H292" i="2"/>
  <c r="G292" i="2"/>
  <c r="I291" i="2"/>
  <c r="H291" i="2"/>
  <c r="G291" i="2"/>
  <c r="I290" i="2"/>
  <c r="H290" i="2"/>
  <c r="G290" i="2"/>
  <c r="I289" i="2"/>
  <c r="H289" i="2"/>
  <c r="G289" i="2"/>
  <c r="I288" i="2"/>
  <c r="H288" i="2"/>
  <c r="G288" i="2"/>
  <c r="I287" i="2"/>
  <c r="H287" i="2"/>
  <c r="G287" i="2"/>
  <c r="I286" i="2"/>
  <c r="H286" i="2"/>
  <c r="G286" i="2"/>
  <c r="I285" i="2"/>
  <c r="H285" i="2"/>
  <c r="G285" i="2"/>
  <c r="I284" i="2"/>
  <c r="H284" i="2"/>
  <c r="G284" i="2"/>
  <c r="I283" i="2"/>
  <c r="H283" i="2"/>
  <c r="G283" i="2"/>
  <c r="I282" i="2"/>
  <c r="H282" i="2"/>
  <c r="G282" i="2"/>
  <c r="I281" i="2"/>
  <c r="H281" i="2"/>
  <c r="G281" i="2"/>
  <c r="I280" i="2"/>
  <c r="H280" i="2"/>
  <c r="G280" i="2"/>
  <c r="I279" i="2"/>
  <c r="H279" i="2"/>
  <c r="G279" i="2"/>
  <c r="I278" i="2"/>
  <c r="H278" i="2"/>
  <c r="G278" i="2"/>
  <c r="I277" i="2"/>
  <c r="H277" i="2"/>
  <c r="G277" i="2"/>
  <c r="I276" i="2"/>
  <c r="H276" i="2"/>
  <c r="G276" i="2"/>
  <c r="I275" i="2"/>
  <c r="H275" i="2"/>
  <c r="G275" i="2"/>
  <c r="I274" i="2"/>
  <c r="H274" i="2"/>
  <c r="G274" i="2"/>
  <c r="I273" i="2"/>
  <c r="H273" i="2"/>
  <c r="G273" i="2"/>
  <c r="I272" i="2"/>
  <c r="H272" i="2"/>
  <c r="G272" i="2"/>
  <c r="I271" i="2"/>
  <c r="H271" i="2"/>
  <c r="G271" i="2"/>
  <c r="I270" i="2"/>
  <c r="H270" i="2"/>
  <c r="G270" i="2"/>
  <c r="I269" i="2"/>
  <c r="H269" i="2"/>
  <c r="G269" i="2"/>
  <c r="I268" i="2"/>
  <c r="H268" i="2"/>
  <c r="G268" i="2"/>
  <c r="I267" i="2"/>
  <c r="H267" i="2"/>
  <c r="G267" i="2"/>
  <c r="I266" i="2"/>
  <c r="H266" i="2"/>
  <c r="G266" i="2"/>
  <c r="I265" i="2"/>
  <c r="H265" i="2"/>
  <c r="G265" i="2"/>
  <c r="I264" i="2"/>
  <c r="H264" i="2"/>
  <c r="G264" i="2"/>
  <c r="I263" i="2"/>
  <c r="H263" i="2"/>
  <c r="G263" i="2"/>
  <c r="I262" i="2"/>
  <c r="H262" i="2"/>
  <c r="G262" i="2"/>
  <c r="I261" i="2"/>
  <c r="H261" i="2"/>
  <c r="G261" i="2"/>
  <c r="I260" i="2"/>
  <c r="H260" i="2"/>
  <c r="G260" i="2"/>
  <c r="I259" i="2"/>
  <c r="H259" i="2"/>
  <c r="G259" i="2"/>
  <c r="I258" i="2"/>
  <c r="H258" i="2"/>
  <c r="G258" i="2"/>
  <c r="I257" i="2"/>
  <c r="H257" i="2"/>
  <c r="G257" i="2"/>
  <c r="I256" i="2"/>
  <c r="H256" i="2"/>
  <c r="G256" i="2"/>
  <c r="I255" i="2"/>
  <c r="H255" i="2"/>
  <c r="G255" i="2"/>
  <c r="I254" i="2"/>
  <c r="H254" i="2"/>
  <c r="G254" i="2"/>
  <c r="I253" i="2"/>
  <c r="H253" i="2"/>
  <c r="G253" i="2"/>
  <c r="I252" i="2"/>
  <c r="H252" i="2"/>
  <c r="G252" i="2"/>
  <c r="I251" i="2"/>
  <c r="H251" i="2"/>
  <c r="G251" i="2"/>
  <c r="I250" i="2"/>
  <c r="H250" i="2"/>
  <c r="G250" i="2"/>
  <c r="I249" i="2"/>
  <c r="H249" i="2"/>
  <c r="G249" i="2"/>
  <c r="I248" i="2"/>
  <c r="H248" i="2"/>
  <c r="G248" i="2"/>
  <c r="I247" i="2"/>
  <c r="H247" i="2"/>
  <c r="G247" i="2"/>
  <c r="I246" i="2"/>
  <c r="H246" i="2"/>
  <c r="G246" i="2"/>
  <c r="I245" i="2"/>
  <c r="H245" i="2"/>
  <c r="G245" i="2"/>
  <c r="I244" i="2"/>
  <c r="H244" i="2"/>
  <c r="G244" i="2"/>
  <c r="I243" i="2"/>
  <c r="H243" i="2"/>
  <c r="G243" i="2"/>
  <c r="I242" i="2"/>
  <c r="H242" i="2"/>
  <c r="G242" i="2"/>
  <c r="I241" i="2"/>
  <c r="H241" i="2"/>
  <c r="G241" i="2"/>
  <c r="I240" i="2"/>
  <c r="H240" i="2"/>
  <c r="G240" i="2"/>
  <c r="I239" i="2"/>
  <c r="H239" i="2"/>
  <c r="G239" i="2"/>
  <c r="I238" i="2"/>
  <c r="H238" i="2"/>
  <c r="G238" i="2"/>
  <c r="I237" i="2"/>
  <c r="H237" i="2"/>
  <c r="G237" i="2"/>
  <c r="I236" i="2"/>
  <c r="H236" i="2"/>
  <c r="G236" i="2"/>
  <c r="I235" i="2"/>
  <c r="H235" i="2"/>
  <c r="G235" i="2"/>
  <c r="I234" i="2"/>
  <c r="H234" i="2"/>
  <c r="G234" i="2"/>
  <c r="I233" i="2"/>
  <c r="H233" i="2"/>
  <c r="G233" i="2"/>
  <c r="I232" i="2"/>
  <c r="H232" i="2"/>
  <c r="G232" i="2"/>
  <c r="I231" i="2"/>
  <c r="H231" i="2"/>
  <c r="G231" i="2"/>
  <c r="I230" i="2"/>
  <c r="H230" i="2"/>
  <c r="G230" i="2"/>
  <c r="I229" i="2"/>
  <c r="H229" i="2"/>
  <c r="G229" i="2"/>
  <c r="I228" i="2"/>
  <c r="H228" i="2"/>
  <c r="G228" i="2"/>
  <c r="I227" i="2"/>
  <c r="H227" i="2"/>
  <c r="G227" i="2"/>
  <c r="I226" i="2"/>
  <c r="H226" i="2"/>
  <c r="G226" i="2"/>
  <c r="I225" i="2"/>
  <c r="H225" i="2"/>
  <c r="G225" i="2"/>
  <c r="I224" i="2"/>
  <c r="H224" i="2"/>
  <c r="G224" i="2"/>
  <c r="I223" i="2"/>
  <c r="H223" i="2"/>
  <c r="G223" i="2"/>
  <c r="I222" i="2"/>
  <c r="H222" i="2"/>
  <c r="G222" i="2"/>
  <c r="I221" i="2"/>
  <c r="H221" i="2"/>
  <c r="G221" i="2"/>
  <c r="I220" i="2"/>
  <c r="H220" i="2"/>
  <c r="G220" i="2"/>
  <c r="I219" i="2"/>
  <c r="H219" i="2"/>
  <c r="G219" i="2"/>
  <c r="I218" i="2"/>
  <c r="H218" i="2"/>
  <c r="G218" i="2"/>
  <c r="I217" i="2"/>
  <c r="H217" i="2"/>
  <c r="G217" i="2"/>
  <c r="I216" i="2"/>
  <c r="H216" i="2"/>
  <c r="G216" i="2"/>
  <c r="I215" i="2"/>
  <c r="H215" i="2"/>
  <c r="G215" i="2"/>
  <c r="I214" i="2"/>
  <c r="H214" i="2"/>
  <c r="G214" i="2"/>
  <c r="I213" i="2"/>
  <c r="H213" i="2"/>
  <c r="G213" i="2"/>
  <c r="I212" i="2"/>
  <c r="H212" i="2"/>
  <c r="G212" i="2"/>
  <c r="I211" i="2"/>
  <c r="H211" i="2"/>
  <c r="G211" i="2"/>
  <c r="I210" i="2"/>
  <c r="H210" i="2"/>
  <c r="G210" i="2"/>
  <c r="I209" i="2"/>
  <c r="H209" i="2"/>
  <c r="G209" i="2"/>
  <c r="I208" i="2"/>
  <c r="H208" i="2"/>
  <c r="G208" i="2"/>
  <c r="I207" i="2"/>
  <c r="H207" i="2"/>
  <c r="G207" i="2"/>
  <c r="I206" i="2"/>
  <c r="H206" i="2"/>
  <c r="G206" i="2"/>
  <c r="I205" i="2"/>
  <c r="H205" i="2"/>
  <c r="G205" i="2"/>
  <c r="I204" i="2"/>
  <c r="H204" i="2"/>
  <c r="G204" i="2"/>
  <c r="I203" i="2"/>
  <c r="H203" i="2"/>
  <c r="G203" i="2"/>
  <c r="I202" i="2"/>
  <c r="H202" i="2"/>
  <c r="G202" i="2"/>
  <c r="I201" i="2"/>
  <c r="H201" i="2"/>
  <c r="G201" i="2"/>
  <c r="I200" i="2"/>
  <c r="H200" i="2"/>
  <c r="G200" i="2"/>
  <c r="I199" i="2"/>
  <c r="H199" i="2"/>
  <c r="G199" i="2"/>
  <c r="I198" i="2"/>
  <c r="H198" i="2"/>
  <c r="G198" i="2"/>
  <c r="I197" i="2"/>
  <c r="H197" i="2"/>
  <c r="G197" i="2"/>
  <c r="I196" i="2"/>
  <c r="H196" i="2"/>
  <c r="G196" i="2"/>
  <c r="I195" i="2"/>
  <c r="H195" i="2"/>
  <c r="G195" i="2"/>
  <c r="I194" i="2"/>
  <c r="H194" i="2"/>
  <c r="G194" i="2"/>
  <c r="I193" i="2"/>
  <c r="H193" i="2"/>
  <c r="G193" i="2"/>
  <c r="I192" i="2"/>
  <c r="H192" i="2"/>
  <c r="G192" i="2"/>
  <c r="I191" i="2"/>
  <c r="H191" i="2"/>
  <c r="G191" i="2"/>
  <c r="I190" i="2"/>
  <c r="H190" i="2"/>
  <c r="G190" i="2"/>
  <c r="I189" i="2"/>
  <c r="H189" i="2"/>
  <c r="G189" i="2"/>
  <c r="I188" i="2"/>
  <c r="H188" i="2"/>
  <c r="G188" i="2"/>
  <c r="I187" i="2"/>
  <c r="H187" i="2"/>
  <c r="G187" i="2"/>
  <c r="I186" i="2"/>
  <c r="H186" i="2"/>
  <c r="G186" i="2"/>
  <c r="I185" i="2"/>
  <c r="H185" i="2"/>
  <c r="G185" i="2"/>
  <c r="I184" i="2"/>
  <c r="H184" i="2"/>
  <c r="G184" i="2"/>
  <c r="I183" i="2"/>
  <c r="H183" i="2"/>
  <c r="G183" i="2"/>
  <c r="I182" i="2"/>
  <c r="H182" i="2"/>
  <c r="G182" i="2"/>
  <c r="I181" i="2"/>
  <c r="H181" i="2"/>
  <c r="G181" i="2"/>
  <c r="I180" i="2"/>
  <c r="H180" i="2"/>
  <c r="G180" i="2"/>
  <c r="I179" i="2"/>
  <c r="H179" i="2"/>
  <c r="G179" i="2"/>
  <c r="I178" i="2"/>
  <c r="H178" i="2"/>
  <c r="G178" i="2"/>
  <c r="I177" i="2"/>
  <c r="H177" i="2"/>
  <c r="G177" i="2"/>
  <c r="I176" i="2"/>
  <c r="H176" i="2"/>
  <c r="G176" i="2"/>
  <c r="I175" i="2"/>
  <c r="H175" i="2"/>
  <c r="G175" i="2"/>
  <c r="I174" i="2"/>
  <c r="H174" i="2"/>
  <c r="G174" i="2"/>
  <c r="I173" i="2"/>
  <c r="H173" i="2"/>
  <c r="G173" i="2"/>
  <c r="I172" i="2"/>
  <c r="H172" i="2"/>
  <c r="G172" i="2"/>
  <c r="I171" i="2"/>
  <c r="H171" i="2"/>
  <c r="G171" i="2"/>
  <c r="I170" i="2"/>
  <c r="H170" i="2"/>
  <c r="G170" i="2"/>
  <c r="I169" i="2"/>
  <c r="H169" i="2"/>
  <c r="G169" i="2"/>
  <c r="I168" i="2"/>
  <c r="H168" i="2"/>
  <c r="G168" i="2"/>
  <c r="I167" i="2"/>
  <c r="H167" i="2"/>
  <c r="G167" i="2"/>
  <c r="I166" i="2"/>
  <c r="H166" i="2"/>
  <c r="G166" i="2"/>
  <c r="I165" i="2"/>
  <c r="H165" i="2"/>
  <c r="G165" i="2"/>
  <c r="I164" i="2"/>
  <c r="H164" i="2"/>
  <c r="G164" i="2"/>
  <c r="I163" i="2"/>
  <c r="H163" i="2"/>
  <c r="G163" i="2"/>
  <c r="I162" i="2"/>
  <c r="H162" i="2"/>
  <c r="G162" i="2"/>
  <c r="I161" i="2"/>
  <c r="H161" i="2"/>
  <c r="G161" i="2"/>
  <c r="I160" i="2"/>
  <c r="H160" i="2"/>
  <c r="G160" i="2"/>
  <c r="I159" i="2"/>
  <c r="H159" i="2"/>
  <c r="G159" i="2"/>
  <c r="I158" i="2"/>
  <c r="H158" i="2"/>
  <c r="G158" i="2"/>
  <c r="I157" i="2"/>
  <c r="H157" i="2"/>
  <c r="G157" i="2"/>
  <c r="I156" i="2"/>
  <c r="H156" i="2"/>
  <c r="G156" i="2"/>
  <c r="I155" i="2"/>
  <c r="H155" i="2"/>
  <c r="G155" i="2"/>
  <c r="I154" i="2"/>
  <c r="H154" i="2"/>
  <c r="G154" i="2"/>
  <c r="I153" i="2"/>
  <c r="H153" i="2"/>
  <c r="G153" i="2"/>
  <c r="I152" i="2"/>
  <c r="H152" i="2"/>
  <c r="G152" i="2"/>
  <c r="I151" i="2"/>
  <c r="H151" i="2"/>
  <c r="G151" i="2"/>
  <c r="I150" i="2"/>
  <c r="H150" i="2"/>
  <c r="G150" i="2"/>
  <c r="I149" i="2"/>
  <c r="H149" i="2"/>
  <c r="G149" i="2"/>
  <c r="I148" i="2"/>
  <c r="H148" i="2"/>
  <c r="G148" i="2"/>
  <c r="I147" i="2"/>
  <c r="H147" i="2"/>
  <c r="G147" i="2"/>
  <c r="I146" i="2"/>
  <c r="H146" i="2"/>
  <c r="G146" i="2"/>
  <c r="I145" i="2"/>
  <c r="H145" i="2"/>
  <c r="G145" i="2"/>
  <c r="I144" i="2"/>
  <c r="H144" i="2"/>
  <c r="G144" i="2"/>
  <c r="I143" i="2"/>
  <c r="H143" i="2"/>
  <c r="G143" i="2"/>
  <c r="I142" i="2"/>
  <c r="H142" i="2"/>
  <c r="G142" i="2"/>
  <c r="I141" i="2"/>
  <c r="H141" i="2"/>
  <c r="G141" i="2"/>
  <c r="I140" i="2"/>
  <c r="H140" i="2"/>
  <c r="G140" i="2"/>
  <c r="I139" i="2"/>
  <c r="H139" i="2"/>
  <c r="G139" i="2"/>
  <c r="I138" i="2"/>
  <c r="H138" i="2"/>
  <c r="G138" i="2"/>
  <c r="I137" i="2"/>
  <c r="H137" i="2"/>
  <c r="G137" i="2"/>
  <c r="I136" i="2"/>
  <c r="H136" i="2"/>
  <c r="G136" i="2"/>
  <c r="I135" i="2"/>
  <c r="H135" i="2"/>
  <c r="G135" i="2"/>
  <c r="I134" i="2"/>
  <c r="H134" i="2"/>
  <c r="G134" i="2"/>
  <c r="I133" i="2"/>
  <c r="H133" i="2"/>
  <c r="G133" i="2"/>
  <c r="I132" i="2"/>
  <c r="H132" i="2"/>
  <c r="G132" i="2"/>
  <c r="I131" i="2"/>
  <c r="H131" i="2"/>
  <c r="G131" i="2"/>
  <c r="I130" i="2"/>
  <c r="H130" i="2"/>
  <c r="G130" i="2"/>
  <c r="I129" i="2"/>
  <c r="H129" i="2"/>
  <c r="G129" i="2"/>
  <c r="I128" i="2"/>
  <c r="H128" i="2"/>
  <c r="G128" i="2"/>
  <c r="I127" i="2"/>
  <c r="H127" i="2"/>
  <c r="G127" i="2"/>
  <c r="I126" i="2"/>
  <c r="H126" i="2"/>
  <c r="G126" i="2"/>
  <c r="I125" i="2"/>
  <c r="H125" i="2"/>
  <c r="G125" i="2"/>
  <c r="I124" i="2"/>
  <c r="H124" i="2"/>
  <c r="G124" i="2"/>
  <c r="I123" i="2"/>
  <c r="H123" i="2"/>
  <c r="G123" i="2"/>
  <c r="I122" i="2"/>
  <c r="H122" i="2"/>
  <c r="G122" i="2"/>
  <c r="I121" i="2"/>
  <c r="H121" i="2"/>
  <c r="G121" i="2"/>
  <c r="I120" i="2"/>
  <c r="H120" i="2"/>
  <c r="G120" i="2"/>
  <c r="I119" i="2"/>
  <c r="H119" i="2"/>
  <c r="G119" i="2"/>
  <c r="I118" i="2"/>
  <c r="H118" i="2"/>
  <c r="G118" i="2"/>
  <c r="I117" i="2"/>
  <c r="H117" i="2"/>
  <c r="G117" i="2"/>
  <c r="I116" i="2"/>
  <c r="H116" i="2"/>
  <c r="G116" i="2"/>
  <c r="I115" i="2"/>
  <c r="H115" i="2"/>
  <c r="G115" i="2"/>
  <c r="I114" i="2"/>
  <c r="H114" i="2"/>
  <c r="G114" i="2"/>
  <c r="I113" i="2"/>
  <c r="H113" i="2"/>
  <c r="G113" i="2"/>
  <c r="I112" i="2"/>
  <c r="H112" i="2"/>
  <c r="G112" i="2"/>
  <c r="I111" i="2"/>
  <c r="H111" i="2"/>
  <c r="G111" i="2"/>
  <c r="I110" i="2"/>
  <c r="H110" i="2"/>
  <c r="G110" i="2"/>
  <c r="I109" i="2"/>
  <c r="H109" i="2"/>
  <c r="G109" i="2"/>
  <c r="I108" i="2"/>
  <c r="H108" i="2"/>
  <c r="G108" i="2"/>
  <c r="I107" i="2"/>
  <c r="H107" i="2"/>
  <c r="G107" i="2"/>
  <c r="I106" i="2"/>
  <c r="H106" i="2"/>
  <c r="G106" i="2"/>
  <c r="I105" i="2"/>
  <c r="H105" i="2"/>
  <c r="G105" i="2"/>
  <c r="I104" i="2"/>
  <c r="H104" i="2"/>
  <c r="G104" i="2"/>
  <c r="I103" i="2"/>
  <c r="H103" i="2"/>
  <c r="G103" i="2"/>
  <c r="I102" i="2"/>
  <c r="H102" i="2"/>
  <c r="G102" i="2"/>
  <c r="I101" i="2"/>
  <c r="H101" i="2"/>
  <c r="G101" i="2"/>
  <c r="I100" i="2"/>
  <c r="H100" i="2"/>
  <c r="G100" i="2"/>
  <c r="I99" i="2"/>
  <c r="H99" i="2"/>
  <c r="G99" i="2"/>
  <c r="I98" i="2"/>
  <c r="H98" i="2"/>
  <c r="G98" i="2"/>
  <c r="I97" i="2"/>
  <c r="H97" i="2"/>
  <c r="G97" i="2"/>
  <c r="I96" i="2"/>
  <c r="H96" i="2"/>
  <c r="G96" i="2"/>
  <c r="I95" i="2"/>
  <c r="H95" i="2"/>
  <c r="G95" i="2"/>
  <c r="I94" i="2"/>
  <c r="H94" i="2"/>
  <c r="G94" i="2"/>
  <c r="I93" i="2"/>
  <c r="H93" i="2"/>
  <c r="G93" i="2"/>
  <c r="I92" i="2"/>
  <c r="H92" i="2"/>
  <c r="G92" i="2"/>
  <c r="I91" i="2"/>
  <c r="H91" i="2"/>
  <c r="G91" i="2"/>
  <c r="I90" i="2"/>
  <c r="H90" i="2"/>
  <c r="G90" i="2"/>
  <c r="I89" i="2"/>
  <c r="H89" i="2"/>
  <c r="G89" i="2"/>
  <c r="I88" i="2"/>
  <c r="H88" i="2"/>
  <c r="G88" i="2"/>
  <c r="I87" i="2"/>
  <c r="H87" i="2"/>
  <c r="G87" i="2"/>
  <c r="I86" i="2"/>
  <c r="H86" i="2"/>
  <c r="G86" i="2"/>
  <c r="I85" i="2"/>
  <c r="H85" i="2"/>
  <c r="G85" i="2"/>
  <c r="I84" i="2"/>
  <c r="H84" i="2"/>
  <c r="G84" i="2"/>
  <c r="I83" i="2"/>
  <c r="H83" i="2"/>
  <c r="G83" i="2"/>
  <c r="I82" i="2"/>
  <c r="H82" i="2"/>
  <c r="G82" i="2"/>
  <c r="I81" i="2"/>
  <c r="H81" i="2"/>
  <c r="G81" i="2"/>
  <c r="I80" i="2"/>
  <c r="H80" i="2"/>
  <c r="G80" i="2"/>
  <c r="I79" i="2"/>
  <c r="H79" i="2"/>
  <c r="G79" i="2"/>
  <c r="I78" i="2"/>
  <c r="H78" i="2"/>
  <c r="G78" i="2"/>
  <c r="I77" i="2"/>
  <c r="H77" i="2"/>
  <c r="G77" i="2"/>
  <c r="I76" i="2"/>
  <c r="H76" i="2"/>
  <c r="G76" i="2"/>
  <c r="I75" i="2"/>
  <c r="H75" i="2"/>
  <c r="G75" i="2"/>
  <c r="I74" i="2"/>
  <c r="H74" i="2"/>
  <c r="G74" i="2"/>
  <c r="I73" i="2"/>
  <c r="H73" i="2"/>
  <c r="G73" i="2"/>
  <c r="I72" i="2"/>
  <c r="H72" i="2"/>
  <c r="G72" i="2"/>
  <c r="I71" i="2"/>
  <c r="H71" i="2"/>
  <c r="G71" i="2"/>
  <c r="I70" i="2"/>
  <c r="H70" i="2"/>
  <c r="G70" i="2"/>
  <c r="I69" i="2"/>
  <c r="H69" i="2"/>
  <c r="G69" i="2"/>
  <c r="I68" i="2"/>
  <c r="H68" i="2"/>
  <c r="G68" i="2"/>
  <c r="I67" i="2"/>
  <c r="H67" i="2"/>
  <c r="G67" i="2"/>
  <c r="I66" i="2"/>
  <c r="H66" i="2"/>
  <c r="G66" i="2"/>
  <c r="I65" i="2"/>
  <c r="H65" i="2"/>
  <c r="G65" i="2"/>
  <c r="I64" i="2"/>
  <c r="H64" i="2"/>
  <c r="G64" i="2"/>
  <c r="I63" i="2"/>
  <c r="H63" i="2"/>
  <c r="G63" i="2"/>
  <c r="I62" i="2"/>
  <c r="H62" i="2"/>
  <c r="G62" i="2"/>
  <c r="I61" i="2"/>
  <c r="H61" i="2"/>
  <c r="G61" i="2"/>
  <c r="I60" i="2"/>
  <c r="H60" i="2"/>
  <c r="G60" i="2"/>
  <c r="I59" i="2"/>
  <c r="H59" i="2"/>
  <c r="G59" i="2"/>
  <c r="I58" i="2"/>
  <c r="H58" i="2"/>
  <c r="G58" i="2"/>
  <c r="I57" i="2"/>
  <c r="H57" i="2"/>
  <c r="G57" i="2"/>
  <c r="I56" i="2"/>
  <c r="H56" i="2"/>
  <c r="G56" i="2"/>
  <c r="I55" i="2"/>
  <c r="H55" i="2"/>
  <c r="G55" i="2"/>
  <c r="I54" i="2"/>
  <c r="H54" i="2"/>
  <c r="G54" i="2"/>
  <c r="I53" i="2"/>
  <c r="H53" i="2"/>
  <c r="G53" i="2"/>
  <c r="I52" i="2"/>
  <c r="H52" i="2"/>
  <c r="G52" i="2"/>
  <c r="I51" i="2"/>
  <c r="H51" i="2"/>
  <c r="G51" i="2"/>
  <c r="I50" i="2"/>
  <c r="H50" i="2"/>
  <c r="G50" i="2"/>
  <c r="I49" i="2"/>
  <c r="H49" i="2"/>
  <c r="G49" i="2"/>
  <c r="I48" i="2"/>
  <c r="H48" i="2"/>
  <c r="G48" i="2"/>
  <c r="I47" i="2"/>
  <c r="H47" i="2"/>
  <c r="G47" i="2"/>
  <c r="I46" i="2"/>
  <c r="H46" i="2"/>
  <c r="G46" i="2"/>
  <c r="I45" i="2"/>
  <c r="H45" i="2"/>
  <c r="G45" i="2"/>
  <c r="I44" i="2"/>
  <c r="H44" i="2"/>
  <c r="G44" i="2"/>
  <c r="I43" i="2"/>
  <c r="H43" i="2"/>
  <c r="G43" i="2"/>
  <c r="I42" i="2"/>
  <c r="H42" i="2"/>
  <c r="G42" i="2"/>
  <c r="I41" i="2"/>
  <c r="H41" i="2"/>
  <c r="G41" i="2"/>
  <c r="I40" i="2"/>
  <c r="H40" i="2"/>
  <c r="G40" i="2"/>
  <c r="I39" i="2"/>
  <c r="H39" i="2"/>
  <c r="G39" i="2"/>
  <c r="I38" i="2"/>
  <c r="H38" i="2"/>
  <c r="G38" i="2"/>
  <c r="I37" i="2"/>
  <c r="H37" i="2"/>
  <c r="G37" i="2"/>
  <c r="I36" i="2"/>
  <c r="H36" i="2"/>
  <c r="G36" i="2"/>
  <c r="I35" i="2"/>
  <c r="H35" i="2"/>
  <c r="G35" i="2"/>
  <c r="I34" i="2"/>
  <c r="H34" i="2"/>
  <c r="G34" i="2"/>
  <c r="I33" i="2"/>
  <c r="H33" i="2"/>
  <c r="G33" i="2"/>
  <c r="I32" i="2"/>
  <c r="H32" i="2"/>
  <c r="G32" i="2"/>
  <c r="I31" i="2"/>
  <c r="H31" i="2"/>
  <c r="G31" i="2"/>
  <c r="I30" i="2"/>
  <c r="H30" i="2"/>
  <c r="G30" i="2"/>
  <c r="I29" i="2"/>
  <c r="H29" i="2"/>
  <c r="G29" i="2"/>
  <c r="I28" i="2"/>
  <c r="H28" i="2"/>
  <c r="G28" i="2"/>
  <c r="I27" i="2"/>
  <c r="H27" i="2"/>
  <c r="G27" i="2"/>
  <c r="I26" i="2"/>
  <c r="H26" i="2"/>
  <c r="G26" i="2"/>
  <c r="I25" i="2"/>
  <c r="H25" i="2"/>
  <c r="G25" i="2"/>
  <c r="H24" i="2"/>
  <c r="I24" i="2" s="1"/>
  <c r="G24" i="2"/>
  <c r="H23" i="2"/>
  <c r="I23" i="2" s="1"/>
  <c r="G23" i="2"/>
  <c r="H22" i="2"/>
  <c r="I22" i="2" s="1"/>
  <c r="G22" i="2"/>
  <c r="I21" i="2"/>
  <c r="H21" i="2"/>
  <c r="G21" i="2"/>
  <c r="H20" i="2"/>
  <c r="G20" i="2"/>
  <c r="H19" i="2"/>
  <c r="G19" i="2"/>
  <c r="G18" i="2"/>
  <c r="H18" i="2" s="1"/>
  <c r="H17" i="2"/>
  <c r="G17" i="2"/>
  <c r="H16" i="2"/>
  <c r="G16" i="2"/>
  <c r="H15" i="2"/>
  <c r="G15" i="2"/>
  <c r="H14" i="2"/>
  <c r="G14" i="2"/>
  <c r="G13" i="2"/>
  <c r="H13" i="2" s="1"/>
  <c r="H12" i="2"/>
  <c r="G12" i="2"/>
  <c r="G11" i="2"/>
  <c r="H11" i="2" s="1"/>
  <c r="G10" i="2"/>
  <c r="H10" i="2" s="1"/>
  <c r="H9" i="2"/>
  <c r="G9" i="2"/>
  <c r="H8" i="2"/>
  <c r="G8" i="2"/>
  <c r="H7" i="2"/>
  <c r="G7" i="2"/>
  <c r="H6" i="2"/>
  <c r="G6" i="2"/>
  <c r="G5" i="2"/>
  <c r="H5" i="2" s="1"/>
  <c r="I4" i="2"/>
  <c r="H4" i="2"/>
  <c r="G4" i="2"/>
  <c r="B10" i="1" l="1"/>
  <c r="I12" i="2"/>
  <c r="I15" i="2"/>
  <c r="I7" i="2"/>
  <c r="I20" i="2"/>
  <c r="I9" i="2"/>
  <c r="I17" i="2"/>
  <c r="B11" i="1"/>
  <c r="B5" i="1"/>
  <c r="I18" i="2"/>
  <c r="I13" i="2"/>
  <c r="I8" i="2"/>
  <c r="I16" i="2"/>
  <c r="I5" i="2"/>
  <c r="I11" i="2"/>
  <c r="I19" i="2"/>
  <c r="B21" i="1"/>
  <c r="I10" i="2"/>
  <c r="I6" i="2"/>
  <c r="I14" i="2"/>
</calcChain>
</file>

<file path=xl/sharedStrings.xml><?xml version="1.0" encoding="utf-8"?>
<sst xmlns="http://schemas.openxmlformats.org/spreadsheetml/2006/main" count="331" uniqueCount="147">
  <si>
    <t>My Betting Log</t>
  </si>
  <si>
    <t>Starting bankroll (£):</t>
  </si>
  <si>
    <t>Each-way bets: enter as two rows like the project ledger — one for the win part, one for the place part at place odds (e.g. 67.0 win / 34.0 place for 1/2 odds). Status: open, won, lost or void.</t>
  </si>
  <si>
    <t>Date</t>
  </si>
  <si>
    <t>Event</t>
  </si>
  <si>
    <t>Selection</t>
  </si>
  <si>
    <t>Odds</t>
  </si>
  <si>
    <t>Stake (£)</t>
  </si>
  <si>
    <t>Status</t>
  </si>
  <si>
    <t>Returns (£)</t>
  </si>
  <si>
    <t>P&amp;L (£)</t>
  </si>
  <si>
    <t>Balance (£)</t>
  </si>
  <si>
    <t>Notes</t>
  </si>
  <si>
    <t>Mexico/South Africa</t>
  </si>
  <si>
    <t>Mexico</t>
  </si>
  <si>
    <t>won</t>
  </si>
  <si>
    <t>South Korea/Czechia</t>
  </si>
  <si>
    <t>South Korea</t>
  </si>
  <si>
    <t>o2.5 Goals</t>
  </si>
  <si>
    <t>lost</t>
  </si>
  <si>
    <t>Outright</t>
  </si>
  <si>
    <t>Argentina</t>
  </si>
  <si>
    <t>open</t>
  </si>
  <si>
    <t>To Reach Final</t>
  </si>
  <si>
    <t>USA/Paraguay</t>
  </si>
  <si>
    <t>Paraguay</t>
  </si>
  <si>
    <t>Canada/Bosnia</t>
  </si>
  <si>
    <t>Canada</t>
  </si>
  <si>
    <t>Qatar/Switzerland</t>
  </si>
  <si>
    <t>Switzerland</t>
  </si>
  <si>
    <t>Australia/Turkiye</t>
  </si>
  <si>
    <t>Australia</t>
  </si>
  <si>
    <t>Netherlands/Japan</t>
  </si>
  <si>
    <t>Japan</t>
  </si>
  <si>
    <t>Ivory Coast/Ecuador</t>
  </si>
  <si>
    <t>Ecuador</t>
  </si>
  <si>
    <t>Haiti/Scotland</t>
  </si>
  <si>
    <t>U2.5 Goals</t>
  </si>
  <si>
    <t>Germany/Curacao</t>
  </si>
  <si>
    <t>Germany</t>
  </si>
  <si>
    <t>u2.5 goals</t>
  </si>
  <si>
    <t>Sweden/Tunisia</t>
  </si>
  <si>
    <t>Betting Dashboard — World Cup 2026</t>
  </si>
  <si>
    <t>My betting (manual log)</t>
  </si>
  <si>
    <t>Balance</t>
  </si>
  <si>
    <t>Open stakes at risk</t>
  </si>
  <si>
    <t>Settled bets</t>
  </si>
  <si>
    <t>Strike rate (won / settled)</t>
  </si>
  <si>
    <t>Total staked (settled)</t>
  </si>
  <si>
    <t>P&amp;L</t>
  </si>
  <si>
    <t>ROI on settled stakes</t>
  </si>
  <si>
    <t>Project ledger (model, auto-tracked)</t>
  </si>
  <si>
    <t>Bankroll (started £100)</t>
  </si>
  <si>
    <t>Strike rate</t>
  </si>
  <si>
    <t>Combined</t>
  </si>
  <si>
    <t>Total P&amp;L</t>
  </si>
  <si>
    <t>Total at risk</t>
  </si>
  <si>
    <t>placed_on</t>
  </si>
  <si>
    <t>match_date</t>
  </si>
  <si>
    <t>home</t>
  </si>
  <si>
    <t>away</t>
  </si>
  <si>
    <t>side</t>
  </si>
  <si>
    <t>bet</t>
  </si>
  <si>
    <t>odds</t>
  </si>
  <si>
    <t>stake</t>
  </si>
  <si>
    <t>status</t>
  </si>
  <si>
    <t>pnl</t>
  </si>
  <si>
    <t>bankroll_after</t>
  </si>
  <si>
    <t>clv</t>
  </si>
  <si>
    <t>Auto-refreshed by update.sh — do not edit; add your own bets in 'My Bets'.</t>
  </si>
  <si>
    <t>2026-06-11</t>
  </si>
  <si>
    <t>Czech Republic</t>
  </si>
  <si>
    <t>South Korea win</t>
  </si>
  <si>
    <t>South Africa</t>
  </si>
  <si>
    <t>Mexico win (SkyBet boost)</t>
  </si>
  <si>
    <t>2026-07-19</t>
  </si>
  <si>
    <t>—OUTRIGHT—</t>
  </si>
  <si>
    <t>outright</t>
  </si>
  <si>
    <t>Argentina to win World Cup</t>
  </si>
  <si>
    <t>Mexico to win World Cup (EW win part)</t>
  </si>
  <si>
    <t>Mexico top 2 (EW place part, 1/2 odds)</t>
  </si>
  <si>
    <t>over25</t>
  </si>
  <si>
    <t>Over 2.5 goals</t>
  </si>
  <si>
    <t>2026-06-12</t>
  </si>
  <si>
    <t>Bosnia and Herzegovina</t>
  </si>
  <si>
    <t>Canada win</t>
  </si>
  <si>
    <t>2026-06-13</t>
  </si>
  <si>
    <t>United States</t>
  </si>
  <si>
    <t>Paraguay win</t>
  </si>
  <si>
    <t>Turkey</t>
  </si>
  <si>
    <t>Australia win</t>
  </si>
  <si>
    <t>2026-06-14</t>
  </si>
  <si>
    <t>Netherlands</t>
  </si>
  <si>
    <t>Japan win</t>
  </si>
  <si>
    <t>Ivory Coast</t>
  </si>
  <si>
    <t>Ecuador win</t>
  </si>
  <si>
    <t>Haiti</t>
  </si>
  <si>
    <t>Scotland</t>
  </si>
  <si>
    <t>under25</t>
  </si>
  <si>
    <t>Under 2.5 goals</t>
  </si>
  <si>
    <t>2026-06-15</t>
  </si>
  <si>
    <t>Matt Fitzpatrick</t>
  </si>
  <si>
    <t>RBC Canadian Open</t>
  </si>
  <si>
    <t>back</t>
  </si>
  <si>
    <t>win outright</t>
  </si>
  <si>
    <t>Brooks Koepka</t>
  </si>
  <si>
    <t>Robert MacIntyre</t>
  </si>
  <si>
    <t>Spain</t>
  </si>
  <si>
    <t>Cape Verde</t>
  </si>
  <si>
    <t>Spain win</t>
  </si>
  <si>
    <t>Curaçao</t>
  </si>
  <si>
    <t>Germany win</t>
  </si>
  <si>
    <t>Saudi Arabia</t>
  </si>
  <si>
    <t>Uruguay</t>
  </si>
  <si>
    <t>Belgium</t>
  </si>
  <si>
    <t>Egypt</t>
  </si>
  <si>
    <t>Sweden</t>
  </si>
  <si>
    <t>Tunisia</t>
  </si>
  <si>
    <t>Iran</t>
  </si>
  <si>
    <t>New Zealand</t>
  </si>
  <si>
    <t>Iran win</t>
  </si>
  <si>
    <t>2026-06-16</t>
  </si>
  <si>
    <t>France</t>
  </si>
  <si>
    <t>Senegal</t>
  </si>
  <si>
    <t>Iraq</t>
  </si>
  <si>
    <t>Norway</t>
  </si>
  <si>
    <t>Austria</t>
  </si>
  <si>
    <t>Jordan</t>
  </si>
  <si>
    <t>Algeria</t>
  </si>
  <si>
    <t>2026-06-17</t>
  </si>
  <si>
    <t>Uzbekistan</t>
  </si>
  <si>
    <t>Colombia</t>
  </si>
  <si>
    <t>England</t>
  </si>
  <si>
    <t>Croatia</t>
  </si>
  <si>
    <t>Portugal</t>
  </si>
  <si>
    <t>DR Congo</t>
  </si>
  <si>
    <t>Ghana</t>
  </si>
  <si>
    <t>Panama</t>
  </si>
  <si>
    <t>Panama win</t>
  </si>
  <si>
    <t>Spain/Cape Verde</t>
  </si>
  <si>
    <t>Spain -2 &amp; BTTS No</t>
  </si>
  <si>
    <t>Belgium/Egypt</t>
  </si>
  <si>
    <t>Iran/New Zealand</t>
  </si>
  <si>
    <t>Iran &amp; u2.5 goals</t>
  </si>
  <si>
    <t>Saudi Arabia/Uruguay</t>
  </si>
  <si>
    <t>Uruguay &amp; u2.5 goals</t>
  </si>
  <si>
    <t>u2.5 Goals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</si>
</sst>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£#,##0.00;&quot;(£&quot;#,##0.00\);\-"/>
    <numFmt numFmtId="165" formatCode="0.0%"/>
    <numFmt numFmtId="166" formatCode="\£#,##0.00;\(\£#,##0.00\);&quot;-&quot;"/>
    <numFmt numFmtId="167" formatCode="\+0.0%;\-0.0%"/>
  </numFmts>
  <fonts count="12" x14ac:knownFonts="1">
    <font>
      <sz val="11"/>
      <color theme="1"/>
      <name val="Calibri"/>
      <family val="2"/>
      <charset val="1"/>
    </font>
    <font>
      <b/>
      <sz val="14"/>
      <name val="Arial"/>
      <family val="2"/>
    </font>
    <font>
      <sz val="9"/>
      <color rgb="FF808080"/>
      <name val="Arial"/>
      <family val="2"/>
    </font>
    <font>
      <b/>
      <sz val="11"/>
      <color rgb="FFFFFFFF"/>
      <name val="Arial"/>
      <family val="2"/>
    </font>
    <font>
      <sz val="10"/>
      <name val="Arial"/>
      <family val="2"/>
    </font>
    <font>
      <sz val="10"/>
      <color rgb="FF008000"/>
      <name val="Arial"/>
      <family val="2"/>
    </font>
    <font>
      <b/>
      <sz val="10"/>
      <name val="Arial"/>
      <family val="2"/>
    </font>
    <font>
      <sz val="10"/>
      <color rgb="FF0000FF"/>
      <name val="Arial"/>
      <family val="2"/>
    </font>
    <font>
      <i/>
      <sz val="9"/>
      <color rgb="FF808080"/>
      <name val="Arial"/>
      <family val="2"/>
    </font>
    <font>
      <b/>
      <sz val="10"/>
      <color rgb="FFFFFFFF"/>
      <name val="Arial"/>
      <family val="2"/>
    </font>
    <font>
      <sz val="10"/>
      <name val="Arial"/>
    </font>
    <font>
      <b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164" fontId="5" fillId="0" borderId="0" xfId="0" applyNumberFormat="1" applyFont="1"/>
    <xf numFmtId="1" fontId="5" fillId="0" borderId="0" xfId="0" applyNumberFormat="1" applyFont="1"/>
    <xf numFmtId="165" fontId="5" fillId="0" borderId="0" xfId="0" applyNumberFormat="1" applyFont="1"/>
    <xf numFmtId="0" fontId="6" fillId="0" borderId="0" xfId="0" applyFont="1"/>
    <xf numFmtId="164" fontId="7" fillId="3" borderId="0" xfId="0" applyNumberFormat="1" applyFont="1" applyFill="1"/>
    <xf numFmtId="0" fontId="8" fillId="0" borderId="0" xfId="0" applyFont="1"/>
    <xf numFmtId="0" fontId="9" fillId="2" borderId="1" xfId="0" applyFont="1" applyFill="1" applyBorder="1" applyAlignment="1">
      <alignment horizontal="center"/>
    </xf>
    <xf numFmtId="14" fontId="7" fillId="0" borderId="0" xfId="0" applyNumberFormat="1" applyFont="1"/>
    <xf numFmtId="0" fontId="7" fillId="0" borderId="0" xfId="0" applyFont="1"/>
    <xf numFmtId="2" fontId="7" fillId="0" borderId="0" xfId="0" applyNumberFormat="1" applyFont="1"/>
    <xf numFmtId="164" fontId="7" fillId="0" borderId="0" xfId="0" applyNumberFormat="1" applyFont="1"/>
    <xf numFmtId="164" fontId="4" fillId="0" borderId="0" xfId="0" applyNumberFormat="1" applyFont="1"/>
    <xf numFmtId="0" fontId="9" fillId="2" borderId="1" xfId="0" applyFont="1" applyFill="1" applyBorder="1"/>
    <xf numFmtId="0" fontId="10" fillId="0" borderId="0" xfId="0" applyFont="1"/>
    <xf numFmtId="2" fontId="10" fillId="0" borderId="0" xfId="0" applyNumberFormat="1" applyFont="1"/>
    <xf numFmtId="166" fontId="10" fillId="0" borderId="0" xfId="0" applyNumberFormat="1" applyFont="1"/>
    <xf numFmtId="0" fontId="11" fillId="0" borderId="0" xfId="0" applyFont="1"/>
    <xf numFmtId="167" fontId="10" fillId="0" borderId="0" xfId="0" applyNumberFormat="1" applyFont="1"/>
    <xf numFmtId="0" fontId="3" fillId="2" borderId="0" xfId="0" applyFont="1" applyFill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"/>
  <sheetViews>
    <sheetView zoomScaleNormal="100" workbookViewId="0"/>
  </sheetViews>
  <sheetFormatPr baseColWidth="10" defaultColWidth="8.6640625" defaultRowHeight="15" x14ac:dyDescent="0.2"/>
  <cols>
    <col min="1" max="1" width="26" customWidth="1"/>
    <col min="2" max="2" width="14" customWidth="1"/>
  </cols>
  <sheetData>
    <row r="1" spans="1:3" ht="17.25" customHeight="1" x14ac:dyDescent="0.2">
      <c r="A1" s="1" t="s">
        <v>42</v>
      </c>
    </row>
    <row r="2" spans="1:3" ht="15" customHeight="1" x14ac:dyDescent="0.2">
      <c r="A2" s="2" t="str">
        <f ca="1">TEXT(TODAY(),"dd mmm yyyy")</f>
        <v>15 Jun 2026</v>
      </c>
    </row>
    <row r="4" spans="1:3" ht="15" customHeight="1" x14ac:dyDescent="0.2">
      <c r="A4" s="22" t="s">
        <v>43</v>
      </c>
      <c r="B4" s="23"/>
      <c r="C4" s="23"/>
    </row>
    <row r="5" spans="1:3" ht="15" customHeight="1" x14ac:dyDescent="0.2">
      <c r="A5" s="3" t="s">
        <v>44</v>
      </c>
      <c r="B5" s="4">
        <f>'My Bets'!$H$1+SUM('My Bets'!$H$4:$H$297)-SUMIFS('My Bets'!$E$4:$E$297,'My Bets'!$F$4:$F$297,"open")</f>
        <v>46.464199999999991</v>
      </c>
    </row>
    <row r="6" spans="1:3" ht="15" customHeight="1" x14ac:dyDescent="0.2">
      <c r="A6" s="3" t="s">
        <v>45</v>
      </c>
      <c r="B6" s="4">
        <f>SUMIFS('My Bets'!$E$4:$E$297,'My Bets'!$F$4:$F$297,"open")</f>
        <v>11.84</v>
      </c>
    </row>
    <row r="7" spans="1:3" ht="15" customHeight="1" x14ac:dyDescent="0.2">
      <c r="A7" s="3" t="s">
        <v>46</v>
      </c>
      <c r="B7" s="5">
        <f>COUNTIF('My Bets'!$F$4:$F$297,"won")+COUNTIF('My Bets'!$F$4:$F$297,"lost")+COUNTIF('My Bets'!$F$4:$F$297,"void")</f>
        <v>14</v>
      </c>
    </row>
    <row r="8" spans="1:3" ht="15" customHeight="1" x14ac:dyDescent="0.2">
      <c r="A8" s="3" t="s">
        <v>47</v>
      </c>
      <c r="B8" s="6">
        <f>IF(COUNTIF('My Bets'!$F$4:$F$297,"won")+COUNTIF('My Bets'!$F$4:$F$297,"lost")=0,0,COUNTIF('My Bets'!$F$4:$F$297,"won")/(COUNTIF('My Bets'!$F$4:$F$297,"won")+COUNTIF('My Bets'!$F$4:$F$297,"lost")))</f>
        <v>0.42857142857142855</v>
      </c>
    </row>
    <row r="9" spans="1:3" ht="15" customHeight="1" x14ac:dyDescent="0.2">
      <c r="A9" s="3" t="s">
        <v>48</v>
      </c>
      <c r="B9" s="4">
        <f>SUMIFS('My Bets'!$E$4:$E$297,'My Bets'!$F$4:$F$297,"won")+SUMIFS('My Bets'!$E$4:$E$297,'My Bets'!$F$4:$F$297,"lost")</f>
        <v>46.92</v>
      </c>
    </row>
    <row r="10" spans="1:3" ht="15" customHeight="1" x14ac:dyDescent="0.2">
      <c r="A10" s="3" t="s">
        <v>49</v>
      </c>
      <c r="B10" s="4">
        <f>SUM('My Bets'!$H$4:$H$297)</f>
        <v>17.304199999999994</v>
      </c>
    </row>
    <row r="11" spans="1:3" ht="15" customHeight="1" x14ac:dyDescent="0.2">
      <c r="A11" s="3" t="s">
        <v>50</v>
      </c>
      <c r="B11" s="6">
        <f>IF(SUMIFS('My Bets'!$E$4:$E$297,'My Bets'!$F$4:$F$297,"won")+SUMIFS('My Bets'!$E$4:$E$297,'My Bets'!$F$4:$F$297,"lost")=0,0,SUM('My Bets'!$H$4:$H$297)/(SUMIFS('My Bets'!$E$4:$E$297,'My Bets'!$F$4:$F$297,"won")+SUMIFS('My Bets'!$E$4:$E$297,'My Bets'!$F$4:$F$297,"lost")))</f>
        <v>0.36880221653878931</v>
      </c>
    </row>
    <row r="13" spans="1:3" ht="15" customHeight="1" x14ac:dyDescent="0.2">
      <c r="A13" s="22" t="s">
        <v>51</v>
      </c>
      <c r="B13" s="23"/>
      <c r="C13" s="23"/>
    </row>
    <row r="14" spans="1:3" ht="15" customHeight="1" x14ac:dyDescent="0.2">
      <c r="A14" s="3" t="s">
        <v>52</v>
      </c>
      <c r="B14" s="4">
        <f>100+SUM('Project Ledger'!J:J)</f>
        <v>121.41999999999999</v>
      </c>
    </row>
    <row r="15" spans="1:3" ht="15" customHeight="1" x14ac:dyDescent="0.2">
      <c r="A15" s="3" t="s">
        <v>45</v>
      </c>
      <c r="B15" s="4">
        <f>SUMIFS('Project Ledger'!H:H,'Project Ledger'!I:I,"open")</f>
        <v>50.289999999999992</v>
      </c>
    </row>
    <row r="16" spans="1:3" ht="15" customHeight="1" x14ac:dyDescent="0.2">
      <c r="A16" s="3" t="s">
        <v>46</v>
      </c>
      <c r="B16" s="5">
        <f>COUNTIF('Project Ledger'!I:I,"won")+COUNTIF('Project Ledger'!I:I,"lost")</f>
        <v>13</v>
      </c>
    </row>
    <row r="17" spans="1:3" ht="15" customHeight="1" x14ac:dyDescent="0.2">
      <c r="A17" s="3" t="s">
        <v>53</v>
      </c>
      <c r="B17" s="6">
        <f>IF(COUNTIF('Project Ledger'!I:I,"won")+COUNTIF('Project Ledger'!I:I,"lost")=0,0,COUNTIF('Project Ledger'!I:I,"won")/(COUNTIF('Project Ledger'!I:I,"won")+COUNTIF('Project Ledger'!I:I,"lost")))</f>
        <v>0.46153846153846156</v>
      </c>
    </row>
    <row r="18" spans="1:3" ht="15" customHeight="1" x14ac:dyDescent="0.2">
      <c r="A18" s="3" t="s">
        <v>49</v>
      </c>
      <c r="B18" s="4">
        <f>SUM('Project Ledger'!J:J)</f>
        <v>21.419999999999995</v>
      </c>
    </row>
    <row r="20" spans="1:3" ht="15" customHeight="1" x14ac:dyDescent="0.2">
      <c r="A20" s="22" t="s">
        <v>54</v>
      </c>
      <c r="B20" s="23"/>
      <c r="C20" s="23"/>
    </row>
    <row r="21" spans="1:3" ht="15" customHeight="1" x14ac:dyDescent="0.2">
      <c r="A21" s="3" t="s">
        <v>55</v>
      </c>
      <c r="B21" s="4">
        <f>SUM('My Bets'!$H$4:$H$297)+SUM('Project Ledger'!J:J)</f>
        <v>38.724199999999989</v>
      </c>
    </row>
    <row r="22" spans="1:3" ht="15" customHeight="1" x14ac:dyDescent="0.2">
      <c r="A22" s="3" t="s">
        <v>56</v>
      </c>
      <c r="B22" s="4">
        <f>SUMIFS('My Bets'!$E$4:$E$297,'My Bets'!$F$4:$F$297,"open")+SUMIFS('Project Ledger'!H:H,'Project Ledger'!I:I,"open")</f>
        <v>62.129999999999995</v>
      </c>
    </row>
  </sheetData>
  <mergeCells count="3">
    <mergeCell ref="A4:C4"/>
    <mergeCell ref="A20:C20"/>
    <mergeCell ref="A13:C13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97"/>
  <sheetViews>
    <sheetView zoomScale="130" zoomScaleNormal="130" workbookViewId="0">
      <pane ySplit="3" topLeftCell="A4" activePane="bottomLeft" state="frozen"/>
      <selection pane="bottomLeft" activeCell="C19" sqref="C19"/>
    </sheetView>
  </sheetViews>
  <sheetFormatPr baseColWidth="10" defaultColWidth="8.6640625" defaultRowHeight="15" x14ac:dyDescent="0.2"/>
  <cols>
    <col min="1" max="1" width="11" customWidth="1"/>
    <col min="2" max="2" width="30" customWidth="1"/>
    <col min="3" max="3" width="28" customWidth="1"/>
    <col min="4" max="4" width="8" customWidth="1"/>
    <col min="5" max="5" width="10" customWidth="1"/>
    <col min="6" max="6" width="8" customWidth="1"/>
    <col min="7" max="8" width="11" customWidth="1"/>
    <col min="9" max="9" width="12" customWidth="1"/>
    <col min="10" max="10" width="30" customWidth="1"/>
  </cols>
  <sheetData>
    <row r="1" spans="1:10" ht="17.25" customHeight="1" x14ac:dyDescent="0.2">
      <c r="A1" s="1" t="s">
        <v>0</v>
      </c>
      <c r="G1" s="7" t="s">
        <v>1</v>
      </c>
      <c r="H1" s="8">
        <v>41</v>
      </c>
    </row>
    <row r="2" spans="1:10" ht="15" customHeight="1" x14ac:dyDescent="0.2">
      <c r="A2" s="9" t="s">
        <v>2</v>
      </c>
    </row>
    <row r="3" spans="1:10" ht="15" customHeight="1" x14ac:dyDescent="0.2">
      <c r="A3" s="10" t="s">
        <v>3</v>
      </c>
      <c r="B3" s="10" t="s">
        <v>4</v>
      </c>
      <c r="C3" s="10" t="s">
        <v>5</v>
      </c>
      <c r="D3" s="10" t="s">
        <v>6</v>
      </c>
      <c r="E3" s="10" t="s">
        <v>7</v>
      </c>
      <c r="F3" s="10" t="s">
        <v>8</v>
      </c>
      <c r="G3" s="10" t="s">
        <v>9</v>
      </c>
      <c r="H3" s="10" t="s">
        <v>10</v>
      </c>
      <c r="I3" s="10" t="s">
        <v>11</v>
      </c>
      <c r="J3" s="10" t="s">
        <v>12</v>
      </c>
    </row>
    <row r="4" spans="1:10" ht="15" customHeight="1" x14ac:dyDescent="0.2">
      <c r="A4" s="11">
        <v>46184</v>
      </c>
      <c r="B4" s="12" t="s">
        <v>13</v>
      </c>
      <c r="C4" s="12" t="s">
        <v>14</v>
      </c>
      <c r="D4" s="13">
        <v>2</v>
      </c>
      <c r="E4" s="14">
        <v>10</v>
      </c>
      <c r="F4" s="12" t="s">
        <v>15</v>
      </c>
      <c r="G4" s="15">
        <f t="shared" ref="G4:G67" si="0">IF($A4="","",IF($F4="won",$E4*$D4,IF($F4="void",$E4,0)))</f>
        <v>20</v>
      </c>
      <c r="H4" s="15">
        <f t="shared" ref="H4:H67" si="1">IF($A4="","",IF(OR($F4="open",$F4=""),0,$G4-$E4))</f>
        <v>10</v>
      </c>
      <c r="I4" s="15">
        <f>IF($A4="","",$H$1+SUM($H$4:$H4)-SUMIFS($E$4:$E4,$F$4:$F4,"open"))</f>
        <v>51</v>
      </c>
      <c r="J4" s="12"/>
    </row>
    <row r="5" spans="1:10" ht="15" customHeight="1" x14ac:dyDescent="0.2">
      <c r="A5" s="11">
        <v>46184</v>
      </c>
      <c r="B5" s="12" t="s">
        <v>16</v>
      </c>
      <c r="C5" s="12" t="s">
        <v>17</v>
      </c>
      <c r="D5" s="13">
        <v>2.6</v>
      </c>
      <c r="E5" s="14">
        <v>2.58</v>
      </c>
      <c r="F5" s="12" t="s">
        <v>15</v>
      </c>
      <c r="G5" s="15">
        <f t="shared" si="0"/>
        <v>6.7080000000000002</v>
      </c>
      <c r="H5" s="15">
        <f t="shared" si="1"/>
        <v>4.1280000000000001</v>
      </c>
      <c r="I5" s="15">
        <f>IF($A5="","",$H$1+SUM($H$4:$H5)-SUMIFS($E$4:$E5,$F$4:$F5,"open"))</f>
        <v>55.128</v>
      </c>
      <c r="J5" s="12"/>
    </row>
    <row r="6" spans="1:10" ht="15" customHeight="1" x14ac:dyDescent="0.2">
      <c r="A6" s="11">
        <v>46184</v>
      </c>
      <c r="B6" s="12" t="s">
        <v>13</v>
      </c>
      <c r="C6" s="12" t="s">
        <v>18</v>
      </c>
      <c r="D6" s="13">
        <v>2.2000000000000002</v>
      </c>
      <c r="E6" s="14">
        <v>2.78</v>
      </c>
      <c r="F6" s="12" t="s">
        <v>19</v>
      </c>
      <c r="G6" s="15">
        <f t="shared" si="0"/>
        <v>0</v>
      </c>
      <c r="H6" s="15">
        <f t="shared" si="1"/>
        <v>-2.78</v>
      </c>
      <c r="I6" s="15">
        <f>IF($A6="","",$H$1+SUM($H$4:$H6)-SUMIFS($E$4:$E6,$F$4:$F6,"open"))</f>
        <v>52.347999999999999</v>
      </c>
      <c r="J6" s="12"/>
    </row>
    <row r="7" spans="1:10" ht="15" customHeight="1" x14ac:dyDescent="0.2">
      <c r="A7" s="11">
        <v>46184</v>
      </c>
      <c r="B7" s="12" t="s">
        <v>20</v>
      </c>
      <c r="C7" s="12" t="s">
        <v>21</v>
      </c>
      <c r="D7" s="13">
        <v>11</v>
      </c>
      <c r="E7" s="14">
        <v>2.2200000000000002</v>
      </c>
      <c r="F7" s="12" t="s">
        <v>22</v>
      </c>
      <c r="G7" s="15">
        <f t="shared" si="0"/>
        <v>0</v>
      </c>
      <c r="H7" s="15">
        <f t="shared" si="1"/>
        <v>0</v>
      </c>
      <c r="I7" s="15">
        <f>IF($A7="","",$H$1+SUM($H$4:$H7)-SUMIFS($E$4:$E7,$F$4:$F7,"open"))</f>
        <v>50.128</v>
      </c>
      <c r="J7" s="12"/>
    </row>
    <row r="8" spans="1:10" ht="15" customHeight="1" x14ac:dyDescent="0.2">
      <c r="A8" s="11">
        <v>46184</v>
      </c>
      <c r="B8" s="12" t="s">
        <v>20</v>
      </c>
      <c r="C8" s="12" t="s">
        <v>14</v>
      </c>
      <c r="D8" s="13">
        <v>67</v>
      </c>
      <c r="E8" s="14">
        <v>0.65</v>
      </c>
      <c r="F8" s="12" t="s">
        <v>22</v>
      </c>
      <c r="G8" s="15">
        <f t="shared" si="0"/>
        <v>0</v>
      </c>
      <c r="H8" s="15">
        <f t="shared" si="1"/>
        <v>0</v>
      </c>
      <c r="I8" s="15">
        <f>IF($A8="","",$H$1+SUM($H$4:$H8)-SUMIFS($E$4:$E8,$F$4:$F8,"open"))</f>
        <v>49.478000000000002</v>
      </c>
      <c r="J8" s="12"/>
    </row>
    <row r="9" spans="1:10" ht="15" customHeight="1" x14ac:dyDescent="0.2">
      <c r="A9" s="11">
        <v>46184</v>
      </c>
      <c r="B9" s="12" t="s">
        <v>23</v>
      </c>
      <c r="C9" s="12" t="s">
        <v>14</v>
      </c>
      <c r="D9" s="13">
        <v>33.5</v>
      </c>
      <c r="E9" s="14">
        <v>0.65</v>
      </c>
      <c r="F9" s="12" t="s">
        <v>22</v>
      </c>
      <c r="G9" s="15">
        <f t="shared" si="0"/>
        <v>0</v>
      </c>
      <c r="H9" s="15">
        <f t="shared" si="1"/>
        <v>0</v>
      </c>
      <c r="I9" s="15">
        <f>IF($A9="","",$H$1+SUM($H$4:$H9)-SUMIFS($E$4:$E9,$F$4:$F9,"open"))</f>
        <v>48.827999999999996</v>
      </c>
      <c r="J9" s="12"/>
    </row>
    <row r="10" spans="1:10" ht="15" customHeight="1" x14ac:dyDescent="0.2">
      <c r="A10" s="11">
        <v>46185</v>
      </c>
      <c r="B10" s="12" t="s">
        <v>24</v>
      </c>
      <c r="C10" s="12" t="s">
        <v>25</v>
      </c>
      <c r="D10" s="13">
        <v>3.8</v>
      </c>
      <c r="E10" s="14">
        <v>1.64</v>
      </c>
      <c r="F10" s="12" t="s">
        <v>19</v>
      </c>
      <c r="G10" s="15">
        <f t="shared" si="0"/>
        <v>0</v>
      </c>
      <c r="H10" s="15">
        <f t="shared" si="1"/>
        <v>-1.64</v>
      </c>
      <c r="I10" s="15">
        <f>IF($A10="","",$H$1+SUM($H$4:$H10)-SUMIFS($E$4:$E10,$F$4:$F10,"open"))</f>
        <v>47.187999999999995</v>
      </c>
      <c r="J10" s="12"/>
    </row>
    <row r="11" spans="1:10" ht="15" customHeight="1" x14ac:dyDescent="0.2">
      <c r="A11" s="11">
        <v>46185</v>
      </c>
      <c r="B11" s="12" t="s">
        <v>26</v>
      </c>
      <c r="C11" s="12" t="s">
        <v>27</v>
      </c>
      <c r="D11" s="13">
        <v>1.8</v>
      </c>
      <c r="E11" s="14">
        <v>7.2</v>
      </c>
      <c r="F11" s="12" t="s">
        <v>19</v>
      </c>
      <c r="G11" s="15">
        <f t="shared" si="0"/>
        <v>0</v>
      </c>
      <c r="H11" s="15">
        <f t="shared" si="1"/>
        <v>-7.2</v>
      </c>
      <c r="I11" s="15">
        <f>IF($A11="","",$H$1+SUM($H$4:$H11)-SUMIFS($E$4:$E11,$F$4:$F11,"open"))</f>
        <v>39.988</v>
      </c>
      <c r="J11" s="12"/>
    </row>
    <row r="12" spans="1:10" ht="15" customHeight="1" x14ac:dyDescent="0.2">
      <c r="A12" s="11">
        <v>46186</v>
      </c>
      <c r="B12" s="12" t="s">
        <v>28</v>
      </c>
      <c r="C12" s="12" t="s">
        <v>29</v>
      </c>
      <c r="D12" s="13">
        <v>1.17</v>
      </c>
      <c r="E12" s="14">
        <v>3</v>
      </c>
      <c r="F12" s="12" t="s">
        <v>19</v>
      </c>
      <c r="G12" s="15">
        <f t="shared" si="0"/>
        <v>0</v>
      </c>
      <c r="H12" s="15">
        <f t="shared" si="1"/>
        <v>-3</v>
      </c>
      <c r="I12" s="15">
        <f>IF($A12="","",$H$1+SUM($H$4:$H12)-SUMIFS($E$4:$E12,$F$4:$F12,"open"))</f>
        <v>36.988</v>
      </c>
      <c r="J12" s="12"/>
    </row>
    <row r="13" spans="1:10" ht="15" customHeight="1" x14ac:dyDescent="0.2">
      <c r="A13" s="11">
        <v>46187</v>
      </c>
      <c r="B13" s="12" t="s">
        <v>30</v>
      </c>
      <c r="C13" s="12" t="s">
        <v>31</v>
      </c>
      <c r="D13" s="13">
        <v>5</v>
      </c>
      <c r="E13" s="14">
        <v>5.68</v>
      </c>
      <c r="F13" s="12" t="s">
        <v>15</v>
      </c>
      <c r="G13" s="15">
        <f t="shared" si="0"/>
        <v>28.4</v>
      </c>
      <c r="H13" s="15">
        <f t="shared" si="1"/>
        <v>22.72</v>
      </c>
      <c r="I13" s="15">
        <f>IF($A13="","",$H$1+SUM($H$4:$H13)-SUMIFS($E$4:$E13,$F$4:$F13,"open"))</f>
        <v>59.707999999999991</v>
      </c>
      <c r="J13" s="12"/>
    </row>
    <row r="14" spans="1:10" ht="15" customHeight="1" x14ac:dyDescent="0.2">
      <c r="A14" s="11">
        <v>46187</v>
      </c>
      <c r="B14" s="12" t="s">
        <v>32</v>
      </c>
      <c r="C14" s="12" t="s">
        <v>33</v>
      </c>
      <c r="D14" s="13">
        <v>3.6</v>
      </c>
      <c r="E14" s="14">
        <v>3.53</v>
      </c>
      <c r="F14" s="12" t="s">
        <v>19</v>
      </c>
      <c r="G14" s="15">
        <f t="shared" si="0"/>
        <v>0</v>
      </c>
      <c r="H14" s="15">
        <f t="shared" si="1"/>
        <v>-3.53</v>
      </c>
      <c r="I14" s="15">
        <f>IF($A14="","",$H$1+SUM($H$4:$H14)-SUMIFS($E$4:$E14,$F$4:$F14,"open"))</f>
        <v>56.17799999999999</v>
      </c>
      <c r="J14" s="12"/>
    </row>
    <row r="15" spans="1:10" ht="15" customHeight="1" x14ac:dyDescent="0.2">
      <c r="A15" s="11">
        <v>46187</v>
      </c>
      <c r="B15" s="12" t="s">
        <v>34</v>
      </c>
      <c r="C15" s="12" t="s">
        <v>35</v>
      </c>
      <c r="D15" s="13">
        <v>2.2999999999999998</v>
      </c>
      <c r="E15" s="14">
        <v>3.3</v>
      </c>
      <c r="F15" s="12" t="s">
        <v>19</v>
      </c>
      <c r="G15" s="15">
        <f t="shared" si="0"/>
        <v>0</v>
      </c>
      <c r="H15" s="15">
        <f t="shared" si="1"/>
        <v>-3.3</v>
      </c>
      <c r="I15" s="15">
        <f>IF($A15="","",$H$1+SUM($H$4:$H15)-SUMIFS($E$4:$E15,$F$4:$F15,"open"))</f>
        <v>52.877999999999993</v>
      </c>
      <c r="J15" s="12"/>
    </row>
    <row r="16" spans="1:10" ht="15" customHeight="1" x14ac:dyDescent="0.2">
      <c r="A16" s="11">
        <v>46187</v>
      </c>
      <c r="B16" s="12" t="s">
        <v>36</v>
      </c>
      <c r="C16" s="12" t="s">
        <v>37</v>
      </c>
      <c r="D16" s="13">
        <v>2.2999999999999998</v>
      </c>
      <c r="E16" s="14">
        <v>3.05</v>
      </c>
      <c r="F16" s="12" t="s">
        <v>15</v>
      </c>
      <c r="G16" s="15">
        <f t="shared" si="0"/>
        <v>7.0149999999999988</v>
      </c>
      <c r="H16" s="15">
        <f t="shared" si="1"/>
        <v>3.964999999999999</v>
      </c>
      <c r="I16" s="15">
        <f>IF($A16="","",$H$1+SUM($H$4:$H16)-SUMIFS($E$4:$E16,$F$4:$F16,"open"))</f>
        <v>56.842999999999996</v>
      </c>
      <c r="J16" s="12"/>
    </row>
    <row r="17" spans="1:10" ht="15" customHeight="1" x14ac:dyDescent="0.2">
      <c r="A17" s="11">
        <v>46187</v>
      </c>
      <c r="B17" s="12" t="s">
        <v>38</v>
      </c>
      <c r="C17" s="12" t="s">
        <v>39</v>
      </c>
      <c r="D17" s="13">
        <v>1.02</v>
      </c>
      <c r="E17" s="14">
        <v>0.98</v>
      </c>
      <c r="F17" s="12" t="s">
        <v>15</v>
      </c>
      <c r="G17" s="15">
        <f t="shared" si="0"/>
        <v>0.99960000000000004</v>
      </c>
      <c r="H17" s="15">
        <f t="shared" si="1"/>
        <v>1.9600000000000062E-2</v>
      </c>
      <c r="I17" s="15">
        <f>IF($A17="","",$H$1+SUM($H$4:$H17)-SUMIFS($E$4:$E17,$F$4:$F17,"open"))</f>
        <v>56.862599999999993</v>
      </c>
      <c r="J17" s="12"/>
    </row>
    <row r="18" spans="1:10" ht="15" customHeight="1" x14ac:dyDescent="0.2">
      <c r="A18" s="11">
        <v>46187</v>
      </c>
      <c r="B18" s="12" t="s">
        <v>34</v>
      </c>
      <c r="C18" s="12" t="s">
        <v>146</v>
      </c>
      <c r="D18" s="13">
        <v>1.36</v>
      </c>
      <c r="E18" s="14">
        <v>0.81</v>
      </c>
      <c r="F18" s="12" t="s">
        <v>15</v>
      </c>
      <c r="G18" s="15">
        <f t="shared" si="0"/>
        <v>1.1016000000000001</v>
      </c>
      <c r="H18" s="15">
        <f t="shared" si="1"/>
        <v>0.29160000000000008</v>
      </c>
      <c r="I18" s="15">
        <f>IF($A18="","",$H$1+SUM($H$4:$H18)-SUMIFS($E$4:$E18,$F$4:$F18,"open"))</f>
        <v>57.154199999999996</v>
      </c>
      <c r="J18" s="12"/>
    </row>
    <row r="19" spans="1:10" ht="15" customHeight="1" x14ac:dyDescent="0.2">
      <c r="A19" s="11">
        <v>46187</v>
      </c>
      <c r="B19" s="12" t="s">
        <v>32</v>
      </c>
      <c r="C19" s="12" t="s">
        <v>40</v>
      </c>
      <c r="D19" s="13">
        <v>1.73</v>
      </c>
      <c r="E19" s="14">
        <v>0.67</v>
      </c>
      <c r="F19" s="12" t="s">
        <v>19</v>
      </c>
      <c r="G19" s="15">
        <f t="shared" si="0"/>
        <v>0</v>
      </c>
      <c r="H19" s="15">
        <f t="shared" si="1"/>
        <v>-0.67</v>
      </c>
      <c r="I19" s="15">
        <f>IF($A19="","",$H$1+SUM($H$4:$H19)-SUMIFS($E$4:$E19,$F$4:$F19,"open"))</f>
        <v>56.484199999999994</v>
      </c>
      <c r="J19" s="12"/>
    </row>
    <row r="20" spans="1:10" ht="15" customHeight="1" x14ac:dyDescent="0.2">
      <c r="A20" s="11">
        <v>46187</v>
      </c>
      <c r="B20" s="12" t="s">
        <v>41</v>
      </c>
      <c r="C20" s="12" t="s">
        <v>40</v>
      </c>
      <c r="D20" s="13">
        <v>1.73</v>
      </c>
      <c r="E20" s="14">
        <v>1.7</v>
      </c>
      <c r="F20" s="12" t="s">
        <v>19</v>
      </c>
      <c r="G20" s="15">
        <f t="shared" si="0"/>
        <v>0</v>
      </c>
      <c r="H20" s="15">
        <f t="shared" si="1"/>
        <v>-1.7</v>
      </c>
      <c r="I20" s="15">
        <f>IF($A20="","",$H$1+SUM($H$4:$H20)-SUMIFS($E$4:$E20,$F$4:$F20,"open"))</f>
        <v>54.784199999999991</v>
      </c>
      <c r="J20" s="12"/>
    </row>
    <row r="21" spans="1:10" ht="15" customHeight="1" x14ac:dyDescent="0.2">
      <c r="A21" s="11">
        <v>46188</v>
      </c>
      <c r="B21" s="12" t="s">
        <v>139</v>
      </c>
      <c r="C21" s="12" t="s">
        <v>140</v>
      </c>
      <c r="D21" s="13">
        <v>1.53</v>
      </c>
      <c r="E21" s="14">
        <v>1.04</v>
      </c>
      <c r="F21" s="12" t="s">
        <v>22</v>
      </c>
      <c r="G21" s="15">
        <f t="shared" si="0"/>
        <v>0</v>
      </c>
      <c r="H21" s="15">
        <f t="shared" si="1"/>
        <v>0</v>
      </c>
      <c r="I21" s="15">
        <f>IF($A21="","",$H$1+SUM($H$4:$H21)-SUMIFS($E$4:$E21,$F$4:$F21,"open"))</f>
        <v>53.744199999999992</v>
      </c>
      <c r="J21" s="12"/>
    </row>
    <row r="22" spans="1:10" ht="15" customHeight="1" x14ac:dyDescent="0.2">
      <c r="A22" s="11">
        <v>46188</v>
      </c>
      <c r="B22" s="12" t="s">
        <v>141</v>
      </c>
      <c r="C22" s="12" t="s">
        <v>37</v>
      </c>
      <c r="D22" s="13">
        <v>1.91</v>
      </c>
      <c r="E22" s="14">
        <v>3.04</v>
      </c>
      <c r="F22" s="12" t="s">
        <v>22</v>
      </c>
      <c r="G22" s="15">
        <f t="shared" si="0"/>
        <v>0</v>
      </c>
      <c r="H22" s="15">
        <f t="shared" si="1"/>
        <v>0</v>
      </c>
      <c r="I22" s="15">
        <f>IF($A22="","",$H$1+SUM($H$4:$H22)-SUMIFS($E$4:$E22,$F$4:$F22,"open"))</f>
        <v>50.704199999999993</v>
      </c>
      <c r="J22" s="12"/>
    </row>
    <row r="23" spans="1:10" ht="15" customHeight="1" x14ac:dyDescent="0.2">
      <c r="A23" s="11">
        <v>46188</v>
      </c>
      <c r="B23" s="12" t="s">
        <v>142</v>
      </c>
      <c r="C23" s="12" t="s">
        <v>143</v>
      </c>
      <c r="D23" s="13">
        <v>2.95</v>
      </c>
      <c r="E23" s="14">
        <v>1.53</v>
      </c>
      <c r="F23" s="12" t="s">
        <v>22</v>
      </c>
      <c r="G23" s="15">
        <f t="shared" si="0"/>
        <v>0</v>
      </c>
      <c r="H23" s="15">
        <f t="shared" si="1"/>
        <v>0</v>
      </c>
      <c r="I23" s="15">
        <f>IF($A23="","",$H$1+SUM($H$4:$H23)-SUMIFS($E$4:$E23,$F$4:$F23,"open"))</f>
        <v>49.174199999999992</v>
      </c>
      <c r="J23" s="12"/>
    </row>
    <row r="24" spans="1:10" ht="15" customHeight="1" x14ac:dyDescent="0.2">
      <c r="A24" s="11">
        <v>46188</v>
      </c>
      <c r="B24" s="12" t="s">
        <v>144</v>
      </c>
      <c r="C24" s="12" t="s">
        <v>145</v>
      </c>
      <c r="D24" s="13">
        <v>2.74</v>
      </c>
      <c r="E24" s="14">
        <v>2.71</v>
      </c>
      <c r="F24" s="12" t="s">
        <v>22</v>
      </c>
      <c r="G24" s="15">
        <f t="shared" si="0"/>
        <v>0</v>
      </c>
      <c r="H24" s="15">
        <f t="shared" si="1"/>
        <v>0</v>
      </c>
      <c r="I24" s="15">
        <f>IF($A24="","",$H$1+SUM($H$4:$H24)-SUMIFS($E$4:$E24,$F$4:$F24,"open"))</f>
        <v>46.464199999999991</v>
      </c>
      <c r="J24" s="12"/>
    </row>
    <row r="25" spans="1:10" ht="15" customHeight="1" x14ac:dyDescent="0.2">
      <c r="A25" s="11"/>
      <c r="B25" s="12"/>
      <c r="C25" s="12"/>
      <c r="D25" s="13"/>
      <c r="E25" s="14"/>
      <c r="F25" s="12"/>
      <c r="G25" s="15" t="str">
        <f t="shared" si="0"/>
        <v/>
      </c>
      <c r="H25" s="15" t="str">
        <f t="shared" si="1"/>
        <v/>
      </c>
      <c r="I25" s="15" t="str">
        <f>IF($A25="","",$H$1+SUM($H$4:$H25)-SUMIFS($E$4:$E25,$F$4:$F25,"open"))</f>
        <v/>
      </c>
      <c r="J25" s="12"/>
    </row>
    <row r="26" spans="1:10" ht="15" customHeight="1" x14ac:dyDescent="0.2">
      <c r="A26" s="11"/>
      <c r="B26" s="12"/>
      <c r="C26" s="12"/>
      <c r="D26" s="13"/>
      <c r="E26" s="14"/>
      <c r="F26" s="12"/>
      <c r="G26" s="15" t="str">
        <f t="shared" si="0"/>
        <v/>
      </c>
      <c r="H26" s="15" t="str">
        <f t="shared" si="1"/>
        <v/>
      </c>
      <c r="I26" s="15" t="str">
        <f>IF($A26="","",$H$1+SUM($H$4:$H26)-SUMIFS($E$4:$E26,$F$4:$F26,"open"))</f>
        <v/>
      </c>
      <c r="J26" s="12"/>
    </row>
    <row r="27" spans="1:10" ht="15" customHeight="1" x14ac:dyDescent="0.2">
      <c r="A27" s="11"/>
      <c r="B27" s="12"/>
      <c r="C27" s="12"/>
      <c r="D27" s="13"/>
      <c r="E27" s="14"/>
      <c r="F27" s="12"/>
      <c r="G27" s="15" t="str">
        <f t="shared" si="0"/>
        <v/>
      </c>
      <c r="H27" s="15" t="str">
        <f t="shared" si="1"/>
        <v/>
      </c>
      <c r="I27" s="15" t="str">
        <f>IF($A27="","",$H$1+SUM($H$4:$H27)-SUMIFS($E$4:$E27,$F$4:$F27,"open"))</f>
        <v/>
      </c>
      <c r="J27" s="12"/>
    </row>
    <row r="28" spans="1:10" ht="15" customHeight="1" x14ac:dyDescent="0.2">
      <c r="A28" s="11"/>
      <c r="B28" s="12"/>
      <c r="C28" s="12"/>
      <c r="D28" s="13"/>
      <c r="E28" s="14"/>
      <c r="F28" s="12"/>
      <c r="G28" s="15" t="str">
        <f t="shared" si="0"/>
        <v/>
      </c>
      <c r="H28" s="15" t="str">
        <f t="shared" si="1"/>
        <v/>
      </c>
      <c r="I28" s="15" t="str">
        <f>IF($A28="","",$H$1+SUM($H$4:$H28)-SUMIFS($E$4:$E28,$F$4:$F28,"open"))</f>
        <v/>
      </c>
      <c r="J28" s="12"/>
    </row>
    <row r="29" spans="1:10" ht="15" customHeight="1" x14ac:dyDescent="0.2">
      <c r="A29" s="11"/>
      <c r="B29" s="12"/>
      <c r="C29" s="12"/>
      <c r="D29" s="13"/>
      <c r="E29" s="14"/>
      <c r="F29" s="12"/>
      <c r="G29" s="15" t="str">
        <f t="shared" si="0"/>
        <v/>
      </c>
      <c r="H29" s="15" t="str">
        <f t="shared" si="1"/>
        <v/>
      </c>
      <c r="I29" s="15" t="str">
        <f>IF($A29="","",$H$1+SUM($H$4:$H29)-SUMIFS($E$4:$E29,$F$4:$F29,"open"))</f>
        <v/>
      </c>
      <c r="J29" s="12"/>
    </row>
    <row r="30" spans="1:10" ht="15" customHeight="1" x14ac:dyDescent="0.2">
      <c r="A30" s="11"/>
      <c r="B30" s="12"/>
      <c r="C30" s="12"/>
      <c r="D30" s="13"/>
      <c r="E30" s="14"/>
      <c r="F30" s="12"/>
      <c r="G30" s="15" t="str">
        <f t="shared" si="0"/>
        <v/>
      </c>
      <c r="H30" s="15" t="str">
        <f t="shared" si="1"/>
        <v/>
      </c>
      <c r="I30" s="15" t="str">
        <f>IF($A30="","",$H$1+SUM($H$4:$H30)-SUMIFS($E$4:$E30,$F$4:$F30,"open"))</f>
        <v/>
      </c>
      <c r="J30" s="12"/>
    </row>
    <row r="31" spans="1:10" ht="15" customHeight="1" x14ac:dyDescent="0.2">
      <c r="A31" s="11"/>
      <c r="B31" s="12"/>
      <c r="C31" s="12"/>
      <c r="D31" s="13"/>
      <c r="E31" s="14"/>
      <c r="F31" s="12"/>
      <c r="G31" s="15" t="str">
        <f t="shared" si="0"/>
        <v/>
      </c>
      <c r="H31" s="15" t="str">
        <f t="shared" si="1"/>
        <v/>
      </c>
      <c r="I31" s="15" t="str">
        <f>IF($A31="","",$H$1+SUM($H$4:$H31)-SUMIFS($E$4:$E31,$F$4:$F31,"open"))</f>
        <v/>
      </c>
      <c r="J31" s="12"/>
    </row>
    <row r="32" spans="1:10" ht="15" customHeight="1" x14ac:dyDescent="0.2">
      <c r="A32" s="11"/>
      <c r="B32" s="12"/>
      <c r="C32" s="12"/>
      <c r="D32" s="13"/>
      <c r="E32" s="14"/>
      <c r="F32" s="12"/>
      <c r="G32" s="15" t="str">
        <f t="shared" si="0"/>
        <v/>
      </c>
      <c r="H32" s="15" t="str">
        <f t="shared" si="1"/>
        <v/>
      </c>
      <c r="I32" s="15" t="str">
        <f>IF($A32="","",$H$1+SUM($H$4:$H32)-SUMIFS($E$4:$E32,$F$4:$F32,"open"))</f>
        <v/>
      </c>
      <c r="J32" s="12"/>
    </row>
    <row r="33" spans="1:10" ht="15" customHeight="1" x14ac:dyDescent="0.2">
      <c r="A33" s="11"/>
      <c r="B33" s="12"/>
      <c r="C33" s="12"/>
      <c r="D33" s="13"/>
      <c r="E33" s="14"/>
      <c r="F33" s="12"/>
      <c r="G33" s="15" t="str">
        <f t="shared" si="0"/>
        <v/>
      </c>
      <c r="H33" s="15" t="str">
        <f t="shared" si="1"/>
        <v/>
      </c>
      <c r="I33" s="15" t="str">
        <f>IF($A33="","",$H$1+SUM($H$4:$H33)-SUMIFS($E$4:$E33,$F$4:$F33,"open"))</f>
        <v/>
      </c>
      <c r="J33" s="12"/>
    </row>
    <row r="34" spans="1:10" ht="15" customHeight="1" x14ac:dyDescent="0.2">
      <c r="A34" s="11"/>
      <c r="B34" s="12"/>
      <c r="C34" s="12"/>
      <c r="D34" s="13"/>
      <c r="E34" s="14"/>
      <c r="F34" s="12"/>
      <c r="G34" s="15" t="str">
        <f t="shared" si="0"/>
        <v/>
      </c>
      <c r="H34" s="15" t="str">
        <f t="shared" si="1"/>
        <v/>
      </c>
      <c r="I34" s="15" t="str">
        <f>IF($A34="","",$H$1+SUM($H$4:$H34)-SUMIFS($E$4:$E34,$F$4:$F34,"open"))</f>
        <v/>
      </c>
      <c r="J34" s="12"/>
    </row>
    <row r="35" spans="1:10" ht="15" customHeight="1" x14ac:dyDescent="0.2">
      <c r="A35" s="11"/>
      <c r="B35" s="12"/>
      <c r="C35" s="12"/>
      <c r="D35" s="13"/>
      <c r="E35" s="14"/>
      <c r="F35" s="12"/>
      <c r="G35" s="15" t="str">
        <f t="shared" si="0"/>
        <v/>
      </c>
      <c r="H35" s="15" t="str">
        <f t="shared" si="1"/>
        <v/>
      </c>
      <c r="I35" s="15" t="str">
        <f>IF($A35="","",$H$1+SUM($H$4:$H35)-SUMIFS($E$4:$E35,$F$4:$F35,"open"))</f>
        <v/>
      </c>
      <c r="J35" s="12"/>
    </row>
    <row r="36" spans="1:10" ht="15" customHeight="1" x14ac:dyDescent="0.2">
      <c r="A36" s="11"/>
      <c r="B36" s="12"/>
      <c r="C36" s="12"/>
      <c r="D36" s="13"/>
      <c r="E36" s="14"/>
      <c r="F36" s="12"/>
      <c r="G36" s="15" t="str">
        <f t="shared" si="0"/>
        <v/>
      </c>
      <c r="H36" s="15" t="str">
        <f t="shared" si="1"/>
        <v/>
      </c>
      <c r="I36" s="15" t="str">
        <f>IF($A36="","",$H$1+SUM($H$4:$H36)-SUMIFS($E$4:$E36,$F$4:$F36,"open"))</f>
        <v/>
      </c>
      <c r="J36" s="12"/>
    </row>
    <row r="37" spans="1:10" ht="15" customHeight="1" x14ac:dyDescent="0.2">
      <c r="A37" s="11"/>
      <c r="B37" s="12"/>
      <c r="C37" s="12"/>
      <c r="D37" s="13"/>
      <c r="E37" s="14"/>
      <c r="F37" s="12"/>
      <c r="G37" s="15" t="str">
        <f t="shared" si="0"/>
        <v/>
      </c>
      <c r="H37" s="15" t="str">
        <f t="shared" si="1"/>
        <v/>
      </c>
      <c r="I37" s="15" t="str">
        <f>IF($A37="","",$H$1+SUM($H$4:$H37)-SUMIFS($E$4:$E37,$F$4:$F37,"open"))</f>
        <v/>
      </c>
      <c r="J37" s="12"/>
    </row>
    <row r="38" spans="1:10" ht="15" customHeight="1" x14ac:dyDescent="0.2">
      <c r="A38" s="11"/>
      <c r="B38" s="12"/>
      <c r="C38" s="12"/>
      <c r="D38" s="13"/>
      <c r="E38" s="14"/>
      <c r="F38" s="12"/>
      <c r="G38" s="15" t="str">
        <f t="shared" si="0"/>
        <v/>
      </c>
      <c r="H38" s="15" t="str">
        <f t="shared" si="1"/>
        <v/>
      </c>
      <c r="I38" s="15" t="str">
        <f>IF($A38="","",$H$1+SUM($H$4:$H38)-SUMIFS($E$4:$E38,$F$4:$F38,"open"))</f>
        <v/>
      </c>
      <c r="J38" s="12"/>
    </row>
    <row r="39" spans="1:10" ht="15" customHeight="1" x14ac:dyDescent="0.2">
      <c r="A39" s="11"/>
      <c r="B39" s="12"/>
      <c r="C39" s="12"/>
      <c r="D39" s="13"/>
      <c r="E39" s="14"/>
      <c r="F39" s="12"/>
      <c r="G39" s="15" t="str">
        <f t="shared" si="0"/>
        <v/>
      </c>
      <c r="H39" s="15" t="str">
        <f t="shared" si="1"/>
        <v/>
      </c>
      <c r="I39" s="15" t="str">
        <f>IF($A39="","",$H$1+SUM($H$4:$H39)-SUMIFS($E$4:$E39,$F$4:$F39,"open"))</f>
        <v/>
      </c>
      <c r="J39" s="12"/>
    </row>
    <row r="40" spans="1:10" ht="15" customHeight="1" x14ac:dyDescent="0.2">
      <c r="A40" s="11"/>
      <c r="B40" s="12"/>
      <c r="C40" s="12"/>
      <c r="D40" s="13"/>
      <c r="E40" s="14"/>
      <c r="F40" s="12"/>
      <c r="G40" s="15" t="str">
        <f t="shared" si="0"/>
        <v/>
      </c>
      <c r="H40" s="15" t="str">
        <f t="shared" si="1"/>
        <v/>
      </c>
      <c r="I40" s="15" t="str">
        <f>IF($A40="","",$H$1+SUM($H$4:$H40)-SUMIFS($E$4:$E40,$F$4:$F40,"open"))</f>
        <v/>
      </c>
      <c r="J40" s="12"/>
    </row>
    <row r="41" spans="1:10" ht="15" customHeight="1" x14ac:dyDescent="0.2">
      <c r="A41" s="11"/>
      <c r="B41" s="12"/>
      <c r="C41" s="12"/>
      <c r="D41" s="13"/>
      <c r="E41" s="14"/>
      <c r="F41" s="12"/>
      <c r="G41" s="15" t="str">
        <f t="shared" si="0"/>
        <v/>
      </c>
      <c r="H41" s="15" t="str">
        <f t="shared" si="1"/>
        <v/>
      </c>
      <c r="I41" s="15" t="str">
        <f>IF($A41="","",$H$1+SUM($H$4:$H41)-SUMIFS($E$4:$E41,$F$4:$F41,"open"))</f>
        <v/>
      </c>
      <c r="J41" s="12"/>
    </row>
    <row r="42" spans="1:10" ht="15" customHeight="1" x14ac:dyDescent="0.2">
      <c r="A42" s="11"/>
      <c r="B42" s="12"/>
      <c r="C42" s="12"/>
      <c r="D42" s="13"/>
      <c r="E42" s="14"/>
      <c r="F42" s="12"/>
      <c r="G42" s="15" t="str">
        <f t="shared" si="0"/>
        <v/>
      </c>
      <c r="H42" s="15" t="str">
        <f t="shared" si="1"/>
        <v/>
      </c>
      <c r="I42" s="15" t="str">
        <f>IF($A42="","",$H$1+SUM($H$4:$H42)-SUMIFS($E$4:$E42,$F$4:$F42,"open"))</f>
        <v/>
      </c>
      <c r="J42" s="12"/>
    </row>
    <row r="43" spans="1:10" ht="15" customHeight="1" x14ac:dyDescent="0.2">
      <c r="A43" s="11"/>
      <c r="B43" s="12"/>
      <c r="C43" s="12"/>
      <c r="D43" s="13"/>
      <c r="E43" s="14"/>
      <c r="F43" s="12"/>
      <c r="G43" s="15" t="str">
        <f t="shared" si="0"/>
        <v/>
      </c>
      <c r="H43" s="15" t="str">
        <f t="shared" si="1"/>
        <v/>
      </c>
      <c r="I43" s="15" t="str">
        <f>IF($A43="","",$H$1+SUM($H$4:$H43)-SUMIFS($E$4:$E43,$F$4:$F43,"open"))</f>
        <v/>
      </c>
      <c r="J43" s="12"/>
    </row>
    <row r="44" spans="1:10" ht="15" customHeight="1" x14ac:dyDescent="0.2">
      <c r="A44" s="11"/>
      <c r="B44" s="12"/>
      <c r="C44" s="12"/>
      <c r="D44" s="13"/>
      <c r="E44" s="14"/>
      <c r="F44" s="12"/>
      <c r="G44" s="15" t="str">
        <f t="shared" si="0"/>
        <v/>
      </c>
      <c r="H44" s="15" t="str">
        <f t="shared" si="1"/>
        <v/>
      </c>
      <c r="I44" s="15" t="str">
        <f>IF($A44="","",$H$1+SUM($H$4:$H44)-SUMIFS($E$4:$E44,$F$4:$F44,"open"))</f>
        <v/>
      </c>
      <c r="J44" s="12"/>
    </row>
    <row r="45" spans="1:10" ht="15" customHeight="1" x14ac:dyDescent="0.2">
      <c r="A45" s="11"/>
      <c r="B45" s="12"/>
      <c r="C45" s="12"/>
      <c r="D45" s="13"/>
      <c r="E45" s="14"/>
      <c r="F45" s="12"/>
      <c r="G45" s="15" t="str">
        <f t="shared" si="0"/>
        <v/>
      </c>
      <c r="H45" s="15" t="str">
        <f t="shared" si="1"/>
        <v/>
      </c>
      <c r="I45" s="15" t="str">
        <f>IF($A45="","",$H$1+SUM($H$4:$H45)-SUMIFS($E$4:$E45,$F$4:$F45,"open"))</f>
        <v/>
      </c>
      <c r="J45" s="12"/>
    </row>
    <row r="46" spans="1:10" ht="15" customHeight="1" x14ac:dyDescent="0.2">
      <c r="A46" s="11"/>
      <c r="B46" s="12"/>
      <c r="C46" s="12"/>
      <c r="D46" s="13"/>
      <c r="E46" s="14"/>
      <c r="F46" s="12"/>
      <c r="G46" s="15" t="str">
        <f t="shared" si="0"/>
        <v/>
      </c>
      <c r="H46" s="15" t="str">
        <f t="shared" si="1"/>
        <v/>
      </c>
      <c r="I46" s="15" t="str">
        <f>IF($A46="","",$H$1+SUM($H$4:$H46)-SUMIFS($E$4:$E46,$F$4:$F46,"open"))</f>
        <v/>
      </c>
      <c r="J46" s="12"/>
    </row>
    <row r="47" spans="1:10" ht="15" customHeight="1" x14ac:dyDescent="0.2">
      <c r="A47" s="11"/>
      <c r="B47" s="12"/>
      <c r="C47" s="12"/>
      <c r="D47" s="13"/>
      <c r="E47" s="14"/>
      <c r="F47" s="12"/>
      <c r="G47" s="15" t="str">
        <f t="shared" si="0"/>
        <v/>
      </c>
      <c r="H47" s="15" t="str">
        <f t="shared" si="1"/>
        <v/>
      </c>
      <c r="I47" s="15" t="str">
        <f>IF($A47="","",$H$1+SUM($H$4:$H47)-SUMIFS($E$4:$E47,$F$4:$F47,"open"))</f>
        <v/>
      </c>
      <c r="J47" s="12"/>
    </row>
    <row r="48" spans="1:10" ht="15" customHeight="1" x14ac:dyDescent="0.2">
      <c r="A48" s="11"/>
      <c r="B48" s="12"/>
      <c r="C48" s="12"/>
      <c r="D48" s="13"/>
      <c r="E48" s="14"/>
      <c r="F48" s="12"/>
      <c r="G48" s="15" t="str">
        <f t="shared" si="0"/>
        <v/>
      </c>
      <c r="H48" s="15" t="str">
        <f t="shared" si="1"/>
        <v/>
      </c>
      <c r="I48" s="15" t="str">
        <f>IF($A48="","",$H$1+SUM($H$4:$H48)-SUMIFS($E$4:$E48,$F$4:$F48,"open"))</f>
        <v/>
      </c>
      <c r="J48" s="12"/>
    </row>
    <row r="49" spans="1:10" ht="15" customHeight="1" x14ac:dyDescent="0.2">
      <c r="A49" s="11"/>
      <c r="B49" s="12"/>
      <c r="C49" s="12"/>
      <c r="D49" s="13"/>
      <c r="E49" s="14"/>
      <c r="F49" s="12"/>
      <c r="G49" s="15" t="str">
        <f t="shared" si="0"/>
        <v/>
      </c>
      <c r="H49" s="15" t="str">
        <f t="shared" si="1"/>
        <v/>
      </c>
      <c r="I49" s="15" t="str">
        <f>IF($A49="","",$H$1+SUM($H$4:$H49)-SUMIFS($E$4:$E49,$F$4:$F49,"open"))</f>
        <v/>
      </c>
      <c r="J49" s="12"/>
    </row>
    <row r="50" spans="1:10" ht="15" customHeight="1" x14ac:dyDescent="0.2">
      <c r="A50" s="11"/>
      <c r="B50" s="12"/>
      <c r="C50" s="12"/>
      <c r="D50" s="13"/>
      <c r="E50" s="14"/>
      <c r="F50" s="12"/>
      <c r="G50" s="15" t="str">
        <f t="shared" si="0"/>
        <v/>
      </c>
      <c r="H50" s="15" t="str">
        <f t="shared" si="1"/>
        <v/>
      </c>
      <c r="I50" s="15" t="str">
        <f>IF($A50="","",$H$1+SUM($H$4:$H50)-SUMIFS($E$4:$E50,$F$4:$F50,"open"))</f>
        <v/>
      </c>
      <c r="J50" s="12"/>
    </row>
    <row r="51" spans="1:10" ht="15" customHeight="1" x14ac:dyDescent="0.2">
      <c r="A51" s="11"/>
      <c r="B51" s="12"/>
      <c r="C51" s="12"/>
      <c r="D51" s="13"/>
      <c r="E51" s="14"/>
      <c r="F51" s="12"/>
      <c r="G51" s="15" t="str">
        <f t="shared" si="0"/>
        <v/>
      </c>
      <c r="H51" s="15" t="str">
        <f t="shared" si="1"/>
        <v/>
      </c>
      <c r="I51" s="15" t="str">
        <f>IF($A51="","",$H$1+SUM($H$4:$H51)-SUMIFS($E$4:$E51,$F$4:$F51,"open"))</f>
        <v/>
      </c>
      <c r="J51" s="12"/>
    </row>
    <row r="52" spans="1:10" ht="15" customHeight="1" x14ac:dyDescent="0.2">
      <c r="A52" s="11"/>
      <c r="B52" s="12"/>
      <c r="C52" s="12"/>
      <c r="D52" s="13"/>
      <c r="E52" s="14"/>
      <c r="F52" s="12"/>
      <c r="G52" s="15" t="str">
        <f t="shared" si="0"/>
        <v/>
      </c>
      <c r="H52" s="15" t="str">
        <f t="shared" si="1"/>
        <v/>
      </c>
      <c r="I52" s="15" t="str">
        <f>IF($A52="","",$H$1+SUM($H$4:$H52)-SUMIFS($E$4:$E52,$F$4:$F52,"open"))</f>
        <v/>
      </c>
      <c r="J52" s="12"/>
    </row>
    <row r="53" spans="1:10" ht="15" customHeight="1" x14ac:dyDescent="0.2">
      <c r="A53" s="11"/>
      <c r="B53" s="12"/>
      <c r="C53" s="12"/>
      <c r="D53" s="13"/>
      <c r="E53" s="14"/>
      <c r="F53" s="12"/>
      <c r="G53" s="15" t="str">
        <f t="shared" si="0"/>
        <v/>
      </c>
      <c r="H53" s="15" t="str">
        <f t="shared" si="1"/>
        <v/>
      </c>
      <c r="I53" s="15" t="str">
        <f>IF($A53="","",$H$1+SUM($H$4:$H53)-SUMIFS($E$4:$E53,$F$4:$F53,"open"))</f>
        <v/>
      </c>
      <c r="J53" s="12"/>
    </row>
    <row r="54" spans="1:10" ht="15" customHeight="1" x14ac:dyDescent="0.2">
      <c r="A54" s="11"/>
      <c r="B54" s="12"/>
      <c r="C54" s="12"/>
      <c r="D54" s="13"/>
      <c r="E54" s="14"/>
      <c r="F54" s="12"/>
      <c r="G54" s="15" t="str">
        <f t="shared" si="0"/>
        <v/>
      </c>
      <c r="H54" s="15" t="str">
        <f t="shared" si="1"/>
        <v/>
      </c>
      <c r="I54" s="15" t="str">
        <f>IF($A54="","",$H$1+SUM($H$4:$H54)-SUMIFS($E$4:$E54,$F$4:$F54,"open"))</f>
        <v/>
      </c>
      <c r="J54" s="12"/>
    </row>
    <row r="55" spans="1:10" ht="15" customHeight="1" x14ac:dyDescent="0.2">
      <c r="A55" s="11"/>
      <c r="B55" s="12"/>
      <c r="C55" s="12"/>
      <c r="D55" s="13"/>
      <c r="E55" s="14"/>
      <c r="F55" s="12"/>
      <c r="G55" s="15" t="str">
        <f t="shared" si="0"/>
        <v/>
      </c>
      <c r="H55" s="15" t="str">
        <f t="shared" si="1"/>
        <v/>
      </c>
      <c r="I55" s="15" t="str">
        <f>IF($A55="","",$H$1+SUM($H$4:$H55)-SUMIFS($E$4:$E55,$F$4:$F55,"open"))</f>
        <v/>
      </c>
      <c r="J55" s="12"/>
    </row>
    <row r="56" spans="1:10" ht="15" customHeight="1" x14ac:dyDescent="0.2">
      <c r="A56" s="11"/>
      <c r="B56" s="12"/>
      <c r="C56" s="12"/>
      <c r="D56" s="13"/>
      <c r="E56" s="14"/>
      <c r="F56" s="12"/>
      <c r="G56" s="15" t="str">
        <f t="shared" si="0"/>
        <v/>
      </c>
      <c r="H56" s="15" t="str">
        <f t="shared" si="1"/>
        <v/>
      </c>
      <c r="I56" s="15" t="str">
        <f>IF($A56="","",$H$1+SUM($H$4:$H56)-SUMIFS($E$4:$E56,$F$4:$F56,"open"))</f>
        <v/>
      </c>
      <c r="J56" s="12"/>
    </row>
    <row r="57" spans="1:10" ht="15" customHeight="1" x14ac:dyDescent="0.2">
      <c r="A57" s="11"/>
      <c r="B57" s="12"/>
      <c r="C57" s="12"/>
      <c r="D57" s="13"/>
      <c r="E57" s="14"/>
      <c r="F57" s="12"/>
      <c r="G57" s="15" t="str">
        <f t="shared" si="0"/>
        <v/>
      </c>
      <c r="H57" s="15" t="str">
        <f t="shared" si="1"/>
        <v/>
      </c>
      <c r="I57" s="15" t="str">
        <f>IF($A57="","",$H$1+SUM($H$4:$H57)-SUMIFS($E$4:$E57,$F$4:$F57,"open"))</f>
        <v/>
      </c>
      <c r="J57" s="12"/>
    </row>
    <row r="58" spans="1:10" ht="15" customHeight="1" x14ac:dyDescent="0.2">
      <c r="A58" s="11"/>
      <c r="B58" s="12"/>
      <c r="C58" s="12"/>
      <c r="D58" s="13"/>
      <c r="E58" s="14"/>
      <c r="F58" s="12"/>
      <c r="G58" s="15" t="str">
        <f t="shared" si="0"/>
        <v/>
      </c>
      <c r="H58" s="15" t="str">
        <f t="shared" si="1"/>
        <v/>
      </c>
      <c r="I58" s="15" t="str">
        <f>IF($A58="","",$H$1+SUM($H$4:$H58)-SUMIFS($E$4:$E58,$F$4:$F58,"open"))</f>
        <v/>
      </c>
      <c r="J58" s="12"/>
    </row>
    <row r="59" spans="1:10" ht="15" customHeight="1" x14ac:dyDescent="0.2">
      <c r="A59" s="11"/>
      <c r="B59" s="12"/>
      <c r="C59" s="12"/>
      <c r="D59" s="13"/>
      <c r="E59" s="14"/>
      <c r="F59" s="12"/>
      <c r="G59" s="15" t="str">
        <f t="shared" si="0"/>
        <v/>
      </c>
      <c r="H59" s="15" t="str">
        <f t="shared" si="1"/>
        <v/>
      </c>
      <c r="I59" s="15" t="str">
        <f>IF($A59="","",$H$1+SUM($H$4:$H59)-SUMIFS($E$4:$E59,$F$4:$F59,"open"))</f>
        <v/>
      </c>
      <c r="J59" s="12"/>
    </row>
    <row r="60" spans="1:10" ht="15" customHeight="1" x14ac:dyDescent="0.2">
      <c r="A60" s="11"/>
      <c r="B60" s="12"/>
      <c r="C60" s="12"/>
      <c r="D60" s="13"/>
      <c r="E60" s="14"/>
      <c r="F60" s="12"/>
      <c r="G60" s="15" t="str">
        <f t="shared" si="0"/>
        <v/>
      </c>
      <c r="H60" s="15" t="str">
        <f t="shared" si="1"/>
        <v/>
      </c>
      <c r="I60" s="15" t="str">
        <f>IF($A60="","",$H$1+SUM($H$4:$H60)-SUMIFS($E$4:$E60,$F$4:$F60,"open"))</f>
        <v/>
      </c>
      <c r="J60" s="12"/>
    </row>
    <row r="61" spans="1:10" ht="15" customHeight="1" x14ac:dyDescent="0.2">
      <c r="A61" s="11"/>
      <c r="B61" s="12"/>
      <c r="C61" s="12"/>
      <c r="D61" s="13"/>
      <c r="E61" s="14"/>
      <c r="F61" s="12"/>
      <c r="G61" s="15" t="str">
        <f t="shared" si="0"/>
        <v/>
      </c>
      <c r="H61" s="15" t="str">
        <f t="shared" si="1"/>
        <v/>
      </c>
      <c r="I61" s="15" t="str">
        <f>IF($A61="","",$H$1+SUM($H$4:$H61)-SUMIFS($E$4:$E61,$F$4:$F61,"open"))</f>
        <v/>
      </c>
      <c r="J61" s="12"/>
    </row>
    <row r="62" spans="1:10" ht="15" customHeight="1" x14ac:dyDescent="0.2">
      <c r="A62" s="11"/>
      <c r="B62" s="12"/>
      <c r="C62" s="12"/>
      <c r="D62" s="13"/>
      <c r="E62" s="14"/>
      <c r="F62" s="12"/>
      <c r="G62" s="15" t="str">
        <f t="shared" si="0"/>
        <v/>
      </c>
      <c r="H62" s="15" t="str">
        <f t="shared" si="1"/>
        <v/>
      </c>
      <c r="I62" s="15" t="str">
        <f>IF($A62="","",$H$1+SUM($H$4:$H62)-SUMIFS($E$4:$E62,$F$4:$F62,"open"))</f>
        <v/>
      </c>
      <c r="J62" s="12"/>
    </row>
    <row r="63" spans="1:10" ht="15" customHeight="1" x14ac:dyDescent="0.2">
      <c r="A63" s="11"/>
      <c r="B63" s="12"/>
      <c r="C63" s="12"/>
      <c r="D63" s="13"/>
      <c r="E63" s="14"/>
      <c r="F63" s="12"/>
      <c r="G63" s="15" t="str">
        <f t="shared" si="0"/>
        <v/>
      </c>
      <c r="H63" s="15" t="str">
        <f t="shared" si="1"/>
        <v/>
      </c>
      <c r="I63" s="15" t="str">
        <f>IF($A63="","",$H$1+SUM($H$4:$H63)-SUMIFS($E$4:$E63,$F$4:$F63,"open"))</f>
        <v/>
      </c>
      <c r="J63" s="12"/>
    </row>
    <row r="64" spans="1:10" ht="15" customHeight="1" x14ac:dyDescent="0.2">
      <c r="A64" s="11"/>
      <c r="B64" s="12"/>
      <c r="C64" s="12"/>
      <c r="D64" s="13"/>
      <c r="E64" s="14"/>
      <c r="F64" s="12"/>
      <c r="G64" s="15" t="str">
        <f t="shared" si="0"/>
        <v/>
      </c>
      <c r="H64" s="15" t="str">
        <f t="shared" si="1"/>
        <v/>
      </c>
      <c r="I64" s="15" t="str">
        <f>IF($A64="","",$H$1+SUM($H$4:$H64)-SUMIFS($E$4:$E64,$F$4:$F64,"open"))</f>
        <v/>
      </c>
      <c r="J64" s="12"/>
    </row>
    <row r="65" spans="1:10" ht="15" customHeight="1" x14ac:dyDescent="0.2">
      <c r="A65" s="11"/>
      <c r="B65" s="12"/>
      <c r="C65" s="12"/>
      <c r="D65" s="13"/>
      <c r="E65" s="14"/>
      <c r="F65" s="12"/>
      <c r="G65" s="15" t="str">
        <f t="shared" si="0"/>
        <v/>
      </c>
      <c r="H65" s="15" t="str">
        <f t="shared" si="1"/>
        <v/>
      </c>
      <c r="I65" s="15" t="str">
        <f>IF($A65="","",$H$1+SUM($H$4:$H65)-SUMIFS($E$4:$E65,$F$4:$F65,"open"))</f>
        <v/>
      </c>
      <c r="J65" s="12"/>
    </row>
    <row r="66" spans="1:10" ht="15" customHeight="1" x14ac:dyDescent="0.2">
      <c r="A66" s="11"/>
      <c r="B66" s="12"/>
      <c r="C66" s="12"/>
      <c r="D66" s="13"/>
      <c r="E66" s="14"/>
      <c r="F66" s="12"/>
      <c r="G66" s="15" t="str">
        <f t="shared" si="0"/>
        <v/>
      </c>
      <c r="H66" s="15" t="str">
        <f t="shared" si="1"/>
        <v/>
      </c>
      <c r="I66" s="15" t="str">
        <f>IF($A66="","",$H$1+SUM($H$4:$H66)-SUMIFS($E$4:$E66,$F$4:$F66,"open"))</f>
        <v/>
      </c>
      <c r="J66" s="12"/>
    </row>
    <row r="67" spans="1:10" ht="15" customHeight="1" x14ac:dyDescent="0.2">
      <c r="A67" s="11"/>
      <c r="B67" s="12"/>
      <c r="C67" s="12"/>
      <c r="D67" s="13"/>
      <c r="E67" s="14"/>
      <c r="F67" s="12"/>
      <c r="G67" s="15" t="str">
        <f t="shared" si="0"/>
        <v/>
      </c>
      <c r="H67" s="15" t="str">
        <f t="shared" si="1"/>
        <v/>
      </c>
      <c r="I67" s="15" t="str">
        <f>IF($A67="","",$H$1+SUM($H$4:$H67)-SUMIFS($E$4:$E67,$F$4:$F67,"open"))</f>
        <v/>
      </c>
      <c r="J67" s="12"/>
    </row>
    <row r="68" spans="1:10" ht="15" customHeight="1" x14ac:dyDescent="0.2">
      <c r="A68" s="11"/>
      <c r="B68" s="12"/>
      <c r="C68" s="12"/>
      <c r="D68" s="13"/>
      <c r="E68" s="14"/>
      <c r="F68" s="12"/>
      <c r="G68" s="15" t="str">
        <f t="shared" ref="G68:G131" si="2">IF($A68="","",IF($F68="won",$E68*$D68,IF($F68="void",$E68,0)))</f>
        <v/>
      </c>
      <c r="H68" s="15" t="str">
        <f t="shared" ref="H68:H131" si="3">IF($A68="","",IF(OR($F68="open",$F68=""),0,$G68-$E68))</f>
        <v/>
      </c>
      <c r="I68" s="15" t="str">
        <f>IF($A68="","",$H$1+SUM($H$4:$H68)-SUMIFS($E$4:$E68,$F$4:$F68,"open"))</f>
        <v/>
      </c>
      <c r="J68" s="12"/>
    </row>
    <row r="69" spans="1:10" ht="15" customHeight="1" x14ac:dyDescent="0.2">
      <c r="A69" s="11"/>
      <c r="B69" s="12"/>
      <c r="C69" s="12"/>
      <c r="D69" s="13"/>
      <c r="E69" s="14"/>
      <c r="F69" s="12"/>
      <c r="G69" s="15" t="str">
        <f t="shared" si="2"/>
        <v/>
      </c>
      <c r="H69" s="15" t="str">
        <f t="shared" si="3"/>
        <v/>
      </c>
      <c r="I69" s="15" t="str">
        <f>IF($A69="","",$H$1+SUM($H$4:$H69)-SUMIFS($E$4:$E69,$F$4:$F69,"open"))</f>
        <v/>
      </c>
      <c r="J69" s="12"/>
    </row>
    <row r="70" spans="1:10" ht="15" customHeight="1" x14ac:dyDescent="0.2">
      <c r="A70" s="11"/>
      <c r="B70" s="12"/>
      <c r="C70" s="12"/>
      <c r="D70" s="13"/>
      <c r="E70" s="14"/>
      <c r="F70" s="12"/>
      <c r="G70" s="15" t="str">
        <f t="shared" si="2"/>
        <v/>
      </c>
      <c r="H70" s="15" t="str">
        <f t="shared" si="3"/>
        <v/>
      </c>
      <c r="I70" s="15" t="str">
        <f>IF($A70="","",$H$1+SUM($H$4:$H70)-SUMIFS($E$4:$E70,$F$4:$F70,"open"))</f>
        <v/>
      </c>
      <c r="J70" s="12"/>
    </row>
    <row r="71" spans="1:10" ht="15" customHeight="1" x14ac:dyDescent="0.2">
      <c r="A71" s="11"/>
      <c r="B71" s="12"/>
      <c r="C71" s="12"/>
      <c r="D71" s="13"/>
      <c r="E71" s="14"/>
      <c r="F71" s="12"/>
      <c r="G71" s="15" t="str">
        <f t="shared" si="2"/>
        <v/>
      </c>
      <c r="H71" s="15" t="str">
        <f t="shared" si="3"/>
        <v/>
      </c>
      <c r="I71" s="15" t="str">
        <f>IF($A71="","",$H$1+SUM($H$4:$H71)-SUMIFS($E$4:$E71,$F$4:$F71,"open"))</f>
        <v/>
      </c>
      <c r="J71" s="12"/>
    </row>
    <row r="72" spans="1:10" ht="15" customHeight="1" x14ac:dyDescent="0.2">
      <c r="A72" s="11"/>
      <c r="B72" s="12"/>
      <c r="C72" s="12"/>
      <c r="D72" s="13"/>
      <c r="E72" s="14"/>
      <c r="F72" s="12"/>
      <c r="G72" s="15" t="str">
        <f t="shared" si="2"/>
        <v/>
      </c>
      <c r="H72" s="15" t="str">
        <f t="shared" si="3"/>
        <v/>
      </c>
      <c r="I72" s="15" t="str">
        <f>IF($A72="","",$H$1+SUM($H$4:$H72)-SUMIFS($E$4:$E72,$F$4:$F72,"open"))</f>
        <v/>
      </c>
      <c r="J72" s="12"/>
    </row>
    <row r="73" spans="1:10" ht="15" customHeight="1" x14ac:dyDescent="0.2">
      <c r="A73" s="11"/>
      <c r="B73" s="12"/>
      <c r="C73" s="12"/>
      <c r="D73" s="13"/>
      <c r="E73" s="14"/>
      <c r="F73" s="12"/>
      <c r="G73" s="15" t="str">
        <f t="shared" si="2"/>
        <v/>
      </c>
      <c r="H73" s="15" t="str">
        <f t="shared" si="3"/>
        <v/>
      </c>
      <c r="I73" s="15" t="str">
        <f>IF($A73="","",$H$1+SUM($H$4:$H73)-SUMIFS($E$4:$E73,$F$4:$F73,"open"))</f>
        <v/>
      </c>
      <c r="J73" s="12"/>
    </row>
    <row r="74" spans="1:10" ht="15" customHeight="1" x14ac:dyDescent="0.2">
      <c r="A74" s="11"/>
      <c r="B74" s="12"/>
      <c r="C74" s="12"/>
      <c r="D74" s="13"/>
      <c r="E74" s="14"/>
      <c r="F74" s="12"/>
      <c r="G74" s="15" t="str">
        <f t="shared" si="2"/>
        <v/>
      </c>
      <c r="H74" s="15" t="str">
        <f t="shared" si="3"/>
        <v/>
      </c>
      <c r="I74" s="15" t="str">
        <f>IF($A74="","",$H$1+SUM($H$4:$H74)-SUMIFS($E$4:$E74,$F$4:$F74,"open"))</f>
        <v/>
      </c>
      <c r="J74" s="12"/>
    </row>
    <row r="75" spans="1:10" ht="15" customHeight="1" x14ac:dyDescent="0.2">
      <c r="A75" s="11"/>
      <c r="B75" s="12"/>
      <c r="C75" s="12"/>
      <c r="D75" s="13"/>
      <c r="E75" s="14"/>
      <c r="F75" s="12"/>
      <c r="G75" s="15" t="str">
        <f t="shared" si="2"/>
        <v/>
      </c>
      <c r="H75" s="15" t="str">
        <f t="shared" si="3"/>
        <v/>
      </c>
      <c r="I75" s="15" t="str">
        <f>IF($A75="","",$H$1+SUM($H$4:$H75)-SUMIFS($E$4:$E75,$F$4:$F75,"open"))</f>
        <v/>
      </c>
      <c r="J75" s="12"/>
    </row>
    <row r="76" spans="1:10" ht="15" customHeight="1" x14ac:dyDescent="0.2">
      <c r="A76" s="11"/>
      <c r="B76" s="12"/>
      <c r="C76" s="12"/>
      <c r="D76" s="13"/>
      <c r="E76" s="14"/>
      <c r="F76" s="12"/>
      <c r="G76" s="15" t="str">
        <f t="shared" si="2"/>
        <v/>
      </c>
      <c r="H76" s="15" t="str">
        <f t="shared" si="3"/>
        <v/>
      </c>
      <c r="I76" s="15" t="str">
        <f>IF($A76="","",$H$1+SUM($H$4:$H76)-SUMIFS($E$4:$E76,$F$4:$F76,"open"))</f>
        <v/>
      </c>
      <c r="J76" s="12"/>
    </row>
    <row r="77" spans="1:10" ht="15" customHeight="1" x14ac:dyDescent="0.2">
      <c r="A77" s="11"/>
      <c r="B77" s="12"/>
      <c r="C77" s="12"/>
      <c r="D77" s="13"/>
      <c r="E77" s="14"/>
      <c r="F77" s="12"/>
      <c r="G77" s="15" t="str">
        <f t="shared" si="2"/>
        <v/>
      </c>
      <c r="H77" s="15" t="str">
        <f t="shared" si="3"/>
        <v/>
      </c>
      <c r="I77" s="15" t="str">
        <f>IF($A77="","",$H$1+SUM($H$4:$H77)-SUMIFS($E$4:$E77,$F$4:$F77,"open"))</f>
        <v/>
      </c>
      <c r="J77" s="12"/>
    </row>
    <row r="78" spans="1:10" ht="15" customHeight="1" x14ac:dyDescent="0.2">
      <c r="A78" s="11"/>
      <c r="B78" s="12"/>
      <c r="C78" s="12"/>
      <c r="D78" s="13"/>
      <c r="E78" s="14"/>
      <c r="F78" s="12"/>
      <c r="G78" s="15" t="str">
        <f t="shared" si="2"/>
        <v/>
      </c>
      <c r="H78" s="15" t="str">
        <f t="shared" si="3"/>
        <v/>
      </c>
      <c r="I78" s="15" t="str">
        <f>IF($A78="","",$H$1+SUM($H$4:$H78)-SUMIFS($E$4:$E78,$F$4:$F78,"open"))</f>
        <v/>
      </c>
      <c r="J78" s="12"/>
    </row>
    <row r="79" spans="1:10" ht="15" customHeight="1" x14ac:dyDescent="0.2">
      <c r="A79" s="11"/>
      <c r="B79" s="12"/>
      <c r="C79" s="12"/>
      <c r="D79" s="13"/>
      <c r="E79" s="14"/>
      <c r="F79" s="12"/>
      <c r="G79" s="15" t="str">
        <f t="shared" si="2"/>
        <v/>
      </c>
      <c r="H79" s="15" t="str">
        <f t="shared" si="3"/>
        <v/>
      </c>
      <c r="I79" s="15" t="str">
        <f>IF($A79="","",$H$1+SUM($H$4:$H79)-SUMIFS($E$4:$E79,$F$4:$F79,"open"))</f>
        <v/>
      </c>
      <c r="J79" s="12"/>
    </row>
    <row r="80" spans="1:10" ht="15" customHeight="1" x14ac:dyDescent="0.2">
      <c r="A80" s="11"/>
      <c r="B80" s="12"/>
      <c r="C80" s="12"/>
      <c r="D80" s="13"/>
      <c r="E80" s="14"/>
      <c r="F80" s="12"/>
      <c r="G80" s="15" t="str">
        <f t="shared" si="2"/>
        <v/>
      </c>
      <c r="H80" s="15" t="str">
        <f t="shared" si="3"/>
        <v/>
      </c>
      <c r="I80" s="15" t="str">
        <f>IF($A80="","",$H$1+SUM($H$4:$H80)-SUMIFS($E$4:$E80,$F$4:$F80,"open"))</f>
        <v/>
      </c>
      <c r="J80" s="12"/>
    </row>
    <row r="81" spans="1:10" ht="15" customHeight="1" x14ac:dyDescent="0.2">
      <c r="A81" s="11"/>
      <c r="B81" s="12"/>
      <c r="C81" s="12"/>
      <c r="D81" s="13"/>
      <c r="E81" s="14"/>
      <c r="F81" s="12"/>
      <c r="G81" s="15" t="str">
        <f t="shared" si="2"/>
        <v/>
      </c>
      <c r="H81" s="15" t="str">
        <f t="shared" si="3"/>
        <v/>
      </c>
      <c r="I81" s="15" t="str">
        <f>IF($A81="","",$H$1+SUM($H$4:$H81)-SUMIFS($E$4:$E81,$F$4:$F81,"open"))</f>
        <v/>
      </c>
      <c r="J81" s="12"/>
    </row>
    <row r="82" spans="1:10" ht="15" customHeight="1" x14ac:dyDescent="0.2">
      <c r="A82" s="11"/>
      <c r="B82" s="12"/>
      <c r="C82" s="12"/>
      <c r="D82" s="13"/>
      <c r="E82" s="14"/>
      <c r="F82" s="12"/>
      <c r="G82" s="15" t="str">
        <f t="shared" si="2"/>
        <v/>
      </c>
      <c r="H82" s="15" t="str">
        <f t="shared" si="3"/>
        <v/>
      </c>
      <c r="I82" s="15" t="str">
        <f>IF($A82="","",$H$1+SUM($H$4:$H82)-SUMIFS($E$4:$E82,$F$4:$F82,"open"))</f>
        <v/>
      </c>
      <c r="J82" s="12"/>
    </row>
    <row r="83" spans="1:10" ht="15" customHeight="1" x14ac:dyDescent="0.2">
      <c r="A83" s="11"/>
      <c r="B83" s="12"/>
      <c r="C83" s="12"/>
      <c r="D83" s="13"/>
      <c r="E83" s="14"/>
      <c r="F83" s="12"/>
      <c r="G83" s="15" t="str">
        <f t="shared" si="2"/>
        <v/>
      </c>
      <c r="H83" s="15" t="str">
        <f t="shared" si="3"/>
        <v/>
      </c>
      <c r="I83" s="15" t="str">
        <f>IF($A83="","",$H$1+SUM($H$4:$H83)-SUMIFS($E$4:$E83,$F$4:$F83,"open"))</f>
        <v/>
      </c>
      <c r="J83" s="12"/>
    </row>
    <row r="84" spans="1:10" ht="15" customHeight="1" x14ac:dyDescent="0.2">
      <c r="A84" s="11"/>
      <c r="B84" s="12"/>
      <c r="C84" s="12"/>
      <c r="D84" s="13"/>
      <c r="E84" s="14"/>
      <c r="F84" s="12"/>
      <c r="G84" s="15" t="str">
        <f t="shared" si="2"/>
        <v/>
      </c>
      <c r="H84" s="15" t="str">
        <f t="shared" si="3"/>
        <v/>
      </c>
      <c r="I84" s="15" t="str">
        <f>IF($A84="","",$H$1+SUM($H$4:$H84)-SUMIFS($E$4:$E84,$F$4:$F84,"open"))</f>
        <v/>
      </c>
      <c r="J84" s="12"/>
    </row>
    <row r="85" spans="1:10" ht="15" customHeight="1" x14ac:dyDescent="0.2">
      <c r="A85" s="11"/>
      <c r="B85" s="12"/>
      <c r="C85" s="12"/>
      <c r="D85" s="13"/>
      <c r="E85" s="14"/>
      <c r="F85" s="12"/>
      <c r="G85" s="15" t="str">
        <f t="shared" si="2"/>
        <v/>
      </c>
      <c r="H85" s="15" t="str">
        <f t="shared" si="3"/>
        <v/>
      </c>
      <c r="I85" s="15" t="str">
        <f>IF($A85="","",$H$1+SUM($H$4:$H85)-SUMIFS($E$4:$E85,$F$4:$F85,"open"))</f>
        <v/>
      </c>
      <c r="J85" s="12"/>
    </row>
    <row r="86" spans="1:10" ht="15" customHeight="1" x14ac:dyDescent="0.2">
      <c r="A86" s="11"/>
      <c r="B86" s="12"/>
      <c r="C86" s="12"/>
      <c r="D86" s="13"/>
      <c r="E86" s="14"/>
      <c r="F86" s="12"/>
      <c r="G86" s="15" t="str">
        <f t="shared" si="2"/>
        <v/>
      </c>
      <c r="H86" s="15" t="str">
        <f t="shared" si="3"/>
        <v/>
      </c>
      <c r="I86" s="15" t="str">
        <f>IF($A86="","",$H$1+SUM($H$4:$H86)-SUMIFS($E$4:$E86,$F$4:$F86,"open"))</f>
        <v/>
      </c>
      <c r="J86" s="12"/>
    </row>
    <row r="87" spans="1:10" ht="15" customHeight="1" x14ac:dyDescent="0.2">
      <c r="A87" s="11"/>
      <c r="B87" s="12"/>
      <c r="C87" s="12"/>
      <c r="D87" s="13"/>
      <c r="E87" s="14"/>
      <c r="F87" s="12"/>
      <c r="G87" s="15" t="str">
        <f t="shared" si="2"/>
        <v/>
      </c>
      <c r="H87" s="15" t="str">
        <f t="shared" si="3"/>
        <v/>
      </c>
      <c r="I87" s="15" t="str">
        <f>IF($A87="","",$H$1+SUM($H$4:$H87)-SUMIFS($E$4:$E87,$F$4:$F87,"open"))</f>
        <v/>
      </c>
      <c r="J87" s="12"/>
    </row>
    <row r="88" spans="1:10" ht="15" customHeight="1" x14ac:dyDescent="0.2">
      <c r="A88" s="11"/>
      <c r="B88" s="12"/>
      <c r="C88" s="12"/>
      <c r="D88" s="13"/>
      <c r="E88" s="14"/>
      <c r="F88" s="12"/>
      <c r="G88" s="15" t="str">
        <f t="shared" si="2"/>
        <v/>
      </c>
      <c r="H88" s="15" t="str">
        <f t="shared" si="3"/>
        <v/>
      </c>
      <c r="I88" s="15" t="str">
        <f>IF($A88="","",$H$1+SUM($H$4:$H88)-SUMIFS($E$4:$E88,$F$4:$F88,"open"))</f>
        <v/>
      </c>
      <c r="J88" s="12"/>
    </row>
    <row r="89" spans="1:10" ht="15" customHeight="1" x14ac:dyDescent="0.2">
      <c r="A89" s="11"/>
      <c r="B89" s="12"/>
      <c r="C89" s="12"/>
      <c r="D89" s="13"/>
      <c r="E89" s="14"/>
      <c r="F89" s="12"/>
      <c r="G89" s="15" t="str">
        <f t="shared" si="2"/>
        <v/>
      </c>
      <c r="H89" s="15" t="str">
        <f t="shared" si="3"/>
        <v/>
      </c>
      <c r="I89" s="15" t="str">
        <f>IF($A89="","",$H$1+SUM($H$4:$H89)-SUMIFS($E$4:$E89,$F$4:$F89,"open"))</f>
        <v/>
      </c>
      <c r="J89" s="12"/>
    </row>
    <row r="90" spans="1:10" ht="15" customHeight="1" x14ac:dyDescent="0.2">
      <c r="A90" s="11"/>
      <c r="B90" s="12"/>
      <c r="C90" s="12"/>
      <c r="D90" s="13"/>
      <c r="E90" s="14"/>
      <c r="F90" s="12"/>
      <c r="G90" s="15" t="str">
        <f t="shared" si="2"/>
        <v/>
      </c>
      <c r="H90" s="15" t="str">
        <f t="shared" si="3"/>
        <v/>
      </c>
      <c r="I90" s="15" t="str">
        <f>IF($A90="","",$H$1+SUM($H$4:$H90)-SUMIFS($E$4:$E90,$F$4:$F90,"open"))</f>
        <v/>
      </c>
      <c r="J90" s="12"/>
    </row>
    <row r="91" spans="1:10" ht="15" customHeight="1" x14ac:dyDescent="0.2">
      <c r="A91" s="11"/>
      <c r="B91" s="12"/>
      <c r="C91" s="12"/>
      <c r="D91" s="13"/>
      <c r="E91" s="14"/>
      <c r="F91" s="12"/>
      <c r="G91" s="15" t="str">
        <f t="shared" si="2"/>
        <v/>
      </c>
      <c r="H91" s="15" t="str">
        <f t="shared" si="3"/>
        <v/>
      </c>
      <c r="I91" s="15" t="str">
        <f>IF($A91="","",$H$1+SUM($H$4:$H91)-SUMIFS($E$4:$E91,$F$4:$F91,"open"))</f>
        <v/>
      </c>
      <c r="J91" s="12"/>
    </row>
    <row r="92" spans="1:10" ht="15" customHeight="1" x14ac:dyDescent="0.2">
      <c r="A92" s="11"/>
      <c r="B92" s="12"/>
      <c r="C92" s="12"/>
      <c r="D92" s="13"/>
      <c r="E92" s="14"/>
      <c r="F92" s="12"/>
      <c r="G92" s="15" t="str">
        <f t="shared" si="2"/>
        <v/>
      </c>
      <c r="H92" s="15" t="str">
        <f t="shared" si="3"/>
        <v/>
      </c>
      <c r="I92" s="15" t="str">
        <f>IF($A92="","",$H$1+SUM($H$4:$H92)-SUMIFS($E$4:$E92,$F$4:$F92,"open"))</f>
        <v/>
      </c>
      <c r="J92" s="12"/>
    </row>
    <row r="93" spans="1:10" ht="15" customHeight="1" x14ac:dyDescent="0.2">
      <c r="A93" s="11"/>
      <c r="B93" s="12"/>
      <c r="C93" s="12"/>
      <c r="D93" s="13"/>
      <c r="E93" s="14"/>
      <c r="F93" s="12"/>
      <c r="G93" s="15" t="str">
        <f t="shared" si="2"/>
        <v/>
      </c>
      <c r="H93" s="15" t="str">
        <f t="shared" si="3"/>
        <v/>
      </c>
      <c r="I93" s="15" t="str">
        <f>IF($A93="","",$H$1+SUM($H$4:$H93)-SUMIFS($E$4:$E93,$F$4:$F93,"open"))</f>
        <v/>
      </c>
      <c r="J93" s="12"/>
    </row>
    <row r="94" spans="1:10" ht="15" customHeight="1" x14ac:dyDescent="0.2">
      <c r="A94" s="11"/>
      <c r="B94" s="12"/>
      <c r="C94" s="12"/>
      <c r="D94" s="13"/>
      <c r="E94" s="14"/>
      <c r="F94" s="12"/>
      <c r="G94" s="15" t="str">
        <f t="shared" si="2"/>
        <v/>
      </c>
      <c r="H94" s="15" t="str">
        <f t="shared" si="3"/>
        <v/>
      </c>
      <c r="I94" s="15" t="str">
        <f>IF($A94="","",$H$1+SUM($H$4:$H94)-SUMIFS($E$4:$E94,$F$4:$F94,"open"))</f>
        <v/>
      </c>
      <c r="J94" s="12"/>
    </row>
    <row r="95" spans="1:10" ht="15" customHeight="1" x14ac:dyDescent="0.2">
      <c r="A95" s="11"/>
      <c r="B95" s="12"/>
      <c r="C95" s="12"/>
      <c r="D95" s="13"/>
      <c r="E95" s="14"/>
      <c r="F95" s="12"/>
      <c r="G95" s="15" t="str">
        <f t="shared" si="2"/>
        <v/>
      </c>
      <c r="H95" s="15" t="str">
        <f t="shared" si="3"/>
        <v/>
      </c>
      <c r="I95" s="15" t="str">
        <f>IF($A95="","",$H$1+SUM($H$4:$H95)-SUMIFS($E$4:$E95,$F$4:$F95,"open"))</f>
        <v/>
      </c>
      <c r="J95" s="12"/>
    </row>
    <row r="96" spans="1:10" ht="15" customHeight="1" x14ac:dyDescent="0.2">
      <c r="A96" s="11"/>
      <c r="B96" s="12"/>
      <c r="C96" s="12"/>
      <c r="D96" s="13"/>
      <c r="E96" s="14"/>
      <c r="F96" s="12"/>
      <c r="G96" s="15" t="str">
        <f t="shared" si="2"/>
        <v/>
      </c>
      <c r="H96" s="15" t="str">
        <f t="shared" si="3"/>
        <v/>
      </c>
      <c r="I96" s="15" t="str">
        <f>IF($A96="","",$H$1+SUM($H$4:$H96)-SUMIFS($E$4:$E96,$F$4:$F96,"open"))</f>
        <v/>
      </c>
      <c r="J96" s="12"/>
    </row>
    <row r="97" spans="1:10" ht="15" customHeight="1" x14ac:dyDescent="0.2">
      <c r="A97" s="11"/>
      <c r="B97" s="12"/>
      <c r="C97" s="12"/>
      <c r="D97" s="13"/>
      <c r="E97" s="14"/>
      <c r="F97" s="12"/>
      <c r="G97" s="15" t="str">
        <f t="shared" si="2"/>
        <v/>
      </c>
      <c r="H97" s="15" t="str">
        <f t="shared" si="3"/>
        <v/>
      </c>
      <c r="I97" s="15" t="str">
        <f>IF($A97="","",$H$1+SUM($H$4:$H97)-SUMIFS($E$4:$E97,$F$4:$F97,"open"))</f>
        <v/>
      </c>
      <c r="J97" s="12"/>
    </row>
    <row r="98" spans="1:10" ht="15" customHeight="1" x14ac:dyDescent="0.2">
      <c r="A98" s="11"/>
      <c r="B98" s="12"/>
      <c r="C98" s="12"/>
      <c r="D98" s="13"/>
      <c r="E98" s="14"/>
      <c r="F98" s="12"/>
      <c r="G98" s="15" t="str">
        <f t="shared" si="2"/>
        <v/>
      </c>
      <c r="H98" s="15" t="str">
        <f t="shared" si="3"/>
        <v/>
      </c>
      <c r="I98" s="15" t="str">
        <f>IF($A98="","",$H$1+SUM($H$4:$H98)-SUMIFS($E$4:$E98,$F$4:$F98,"open"))</f>
        <v/>
      </c>
      <c r="J98" s="12"/>
    </row>
    <row r="99" spans="1:10" ht="15" customHeight="1" x14ac:dyDescent="0.2">
      <c r="A99" s="11"/>
      <c r="B99" s="12"/>
      <c r="C99" s="12"/>
      <c r="D99" s="13"/>
      <c r="E99" s="14"/>
      <c r="F99" s="12"/>
      <c r="G99" s="15" t="str">
        <f t="shared" si="2"/>
        <v/>
      </c>
      <c r="H99" s="15" t="str">
        <f t="shared" si="3"/>
        <v/>
      </c>
      <c r="I99" s="15" t="str">
        <f>IF($A99="","",$H$1+SUM($H$4:$H99)-SUMIFS($E$4:$E99,$F$4:$F99,"open"))</f>
        <v/>
      </c>
      <c r="J99" s="12"/>
    </row>
    <row r="100" spans="1:10" ht="15" customHeight="1" x14ac:dyDescent="0.2">
      <c r="A100" s="11"/>
      <c r="B100" s="12"/>
      <c r="C100" s="12"/>
      <c r="D100" s="13"/>
      <c r="E100" s="14"/>
      <c r="F100" s="12"/>
      <c r="G100" s="15" t="str">
        <f t="shared" si="2"/>
        <v/>
      </c>
      <c r="H100" s="15" t="str">
        <f t="shared" si="3"/>
        <v/>
      </c>
      <c r="I100" s="15" t="str">
        <f>IF($A100="","",$H$1+SUM($H$4:$H100)-SUMIFS($E$4:$E100,$F$4:$F100,"open"))</f>
        <v/>
      </c>
      <c r="J100" s="12"/>
    </row>
    <row r="101" spans="1:10" ht="15" customHeight="1" x14ac:dyDescent="0.2">
      <c r="A101" s="11"/>
      <c r="B101" s="12"/>
      <c r="C101" s="12"/>
      <c r="D101" s="13"/>
      <c r="E101" s="14"/>
      <c r="F101" s="12"/>
      <c r="G101" s="15" t="str">
        <f t="shared" si="2"/>
        <v/>
      </c>
      <c r="H101" s="15" t="str">
        <f t="shared" si="3"/>
        <v/>
      </c>
      <c r="I101" s="15" t="str">
        <f>IF($A101="","",$H$1+SUM($H$4:$H101)-SUMIFS($E$4:$E101,$F$4:$F101,"open"))</f>
        <v/>
      </c>
      <c r="J101" s="12"/>
    </row>
    <row r="102" spans="1:10" ht="15" customHeight="1" x14ac:dyDescent="0.2">
      <c r="A102" s="11"/>
      <c r="B102" s="12"/>
      <c r="C102" s="12"/>
      <c r="D102" s="13"/>
      <c r="E102" s="14"/>
      <c r="F102" s="12"/>
      <c r="G102" s="15" t="str">
        <f t="shared" si="2"/>
        <v/>
      </c>
      <c r="H102" s="15" t="str">
        <f t="shared" si="3"/>
        <v/>
      </c>
      <c r="I102" s="15" t="str">
        <f>IF($A102="","",$H$1+SUM($H$4:$H102)-SUMIFS($E$4:$E102,$F$4:$F102,"open"))</f>
        <v/>
      </c>
      <c r="J102" s="12"/>
    </row>
    <row r="103" spans="1:10" ht="15" customHeight="1" x14ac:dyDescent="0.2">
      <c r="A103" s="11"/>
      <c r="B103" s="12"/>
      <c r="C103" s="12"/>
      <c r="D103" s="13"/>
      <c r="E103" s="14"/>
      <c r="F103" s="12"/>
      <c r="G103" s="15" t="str">
        <f t="shared" si="2"/>
        <v/>
      </c>
      <c r="H103" s="15" t="str">
        <f t="shared" si="3"/>
        <v/>
      </c>
      <c r="I103" s="15" t="str">
        <f>IF($A103="","",$H$1+SUM($H$4:$H103)-SUMIFS($E$4:$E103,$F$4:$F103,"open"))</f>
        <v/>
      </c>
      <c r="J103" s="12"/>
    </row>
    <row r="104" spans="1:10" ht="15" customHeight="1" x14ac:dyDescent="0.2">
      <c r="A104" s="11"/>
      <c r="B104" s="12"/>
      <c r="C104" s="12"/>
      <c r="D104" s="13"/>
      <c r="E104" s="14"/>
      <c r="F104" s="12"/>
      <c r="G104" s="15" t="str">
        <f t="shared" si="2"/>
        <v/>
      </c>
      <c r="H104" s="15" t="str">
        <f t="shared" si="3"/>
        <v/>
      </c>
      <c r="I104" s="15" t="str">
        <f>IF($A104="","",$H$1+SUM($H$4:$H104)-SUMIFS($E$4:$E104,$F$4:$F104,"open"))</f>
        <v/>
      </c>
      <c r="J104" s="12"/>
    </row>
    <row r="105" spans="1:10" ht="15" customHeight="1" x14ac:dyDescent="0.2">
      <c r="A105" s="11"/>
      <c r="B105" s="12"/>
      <c r="C105" s="12"/>
      <c r="D105" s="13"/>
      <c r="E105" s="14"/>
      <c r="F105" s="12"/>
      <c r="G105" s="15" t="str">
        <f t="shared" si="2"/>
        <v/>
      </c>
      <c r="H105" s="15" t="str">
        <f t="shared" si="3"/>
        <v/>
      </c>
      <c r="I105" s="15" t="str">
        <f>IF($A105="","",$H$1+SUM($H$4:$H105)-SUMIFS($E$4:$E105,$F$4:$F105,"open"))</f>
        <v/>
      </c>
      <c r="J105" s="12"/>
    </row>
    <row r="106" spans="1:10" ht="15" customHeight="1" x14ac:dyDescent="0.2">
      <c r="A106" s="11"/>
      <c r="B106" s="12"/>
      <c r="C106" s="12"/>
      <c r="D106" s="13"/>
      <c r="E106" s="14"/>
      <c r="F106" s="12"/>
      <c r="G106" s="15" t="str">
        <f t="shared" si="2"/>
        <v/>
      </c>
      <c r="H106" s="15" t="str">
        <f t="shared" si="3"/>
        <v/>
      </c>
      <c r="I106" s="15" t="str">
        <f>IF($A106="","",$H$1+SUM($H$4:$H106)-SUMIFS($E$4:$E106,$F$4:$F106,"open"))</f>
        <v/>
      </c>
      <c r="J106" s="12"/>
    </row>
    <row r="107" spans="1:10" ht="15" customHeight="1" x14ac:dyDescent="0.2">
      <c r="A107" s="11"/>
      <c r="B107" s="12"/>
      <c r="C107" s="12"/>
      <c r="D107" s="13"/>
      <c r="E107" s="14"/>
      <c r="F107" s="12"/>
      <c r="G107" s="15" t="str">
        <f t="shared" si="2"/>
        <v/>
      </c>
      <c r="H107" s="15" t="str">
        <f t="shared" si="3"/>
        <v/>
      </c>
      <c r="I107" s="15" t="str">
        <f>IF($A107="","",$H$1+SUM($H$4:$H107)-SUMIFS($E$4:$E107,$F$4:$F107,"open"))</f>
        <v/>
      </c>
      <c r="J107" s="12"/>
    </row>
    <row r="108" spans="1:10" ht="15" customHeight="1" x14ac:dyDescent="0.2">
      <c r="A108" s="11"/>
      <c r="B108" s="12"/>
      <c r="C108" s="12"/>
      <c r="D108" s="13"/>
      <c r="E108" s="14"/>
      <c r="F108" s="12"/>
      <c r="G108" s="15" t="str">
        <f t="shared" si="2"/>
        <v/>
      </c>
      <c r="H108" s="15" t="str">
        <f t="shared" si="3"/>
        <v/>
      </c>
      <c r="I108" s="15" t="str">
        <f>IF($A108="","",$H$1+SUM($H$4:$H108)-SUMIFS($E$4:$E108,$F$4:$F108,"open"))</f>
        <v/>
      </c>
      <c r="J108" s="12"/>
    </row>
    <row r="109" spans="1:10" ht="15" customHeight="1" x14ac:dyDescent="0.2">
      <c r="A109" s="11"/>
      <c r="B109" s="12"/>
      <c r="C109" s="12"/>
      <c r="D109" s="13"/>
      <c r="E109" s="14"/>
      <c r="F109" s="12"/>
      <c r="G109" s="15" t="str">
        <f t="shared" si="2"/>
        <v/>
      </c>
      <c r="H109" s="15" t="str">
        <f t="shared" si="3"/>
        <v/>
      </c>
      <c r="I109" s="15" t="str">
        <f>IF($A109="","",$H$1+SUM($H$4:$H109)-SUMIFS($E$4:$E109,$F$4:$F109,"open"))</f>
        <v/>
      </c>
      <c r="J109" s="12"/>
    </row>
    <row r="110" spans="1:10" ht="15" customHeight="1" x14ac:dyDescent="0.2">
      <c r="A110" s="11"/>
      <c r="B110" s="12"/>
      <c r="C110" s="12"/>
      <c r="D110" s="13"/>
      <c r="E110" s="14"/>
      <c r="F110" s="12"/>
      <c r="G110" s="15" t="str">
        <f t="shared" si="2"/>
        <v/>
      </c>
      <c r="H110" s="15" t="str">
        <f t="shared" si="3"/>
        <v/>
      </c>
      <c r="I110" s="15" t="str">
        <f>IF($A110="","",$H$1+SUM($H$4:$H110)-SUMIFS($E$4:$E110,$F$4:$F110,"open"))</f>
        <v/>
      </c>
      <c r="J110" s="12"/>
    </row>
    <row r="111" spans="1:10" ht="15" customHeight="1" x14ac:dyDescent="0.2">
      <c r="A111" s="11"/>
      <c r="B111" s="12"/>
      <c r="C111" s="12"/>
      <c r="D111" s="13"/>
      <c r="E111" s="14"/>
      <c r="F111" s="12"/>
      <c r="G111" s="15" t="str">
        <f t="shared" si="2"/>
        <v/>
      </c>
      <c r="H111" s="15" t="str">
        <f t="shared" si="3"/>
        <v/>
      </c>
      <c r="I111" s="15" t="str">
        <f>IF($A111="","",$H$1+SUM($H$4:$H111)-SUMIFS($E$4:$E111,$F$4:$F111,"open"))</f>
        <v/>
      </c>
      <c r="J111" s="12"/>
    </row>
    <row r="112" spans="1:10" ht="15" customHeight="1" x14ac:dyDescent="0.2">
      <c r="A112" s="11"/>
      <c r="B112" s="12"/>
      <c r="C112" s="12"/>
      <c r="D112" s="13"/>
      <c r="E112" s="14"/>
      <c r="F112" s="12"/>
      <c r="G112" s="15" t="str">
        <f t="shared" si="2"/>
        <v/>
      </c>
      <c r="H112" s="15" t="str">
        <f t="shared" si="3"/>
        <v/>
      </c>
      <c r="I112" s="15" t="str">
        <f>IF($A112="","",$H$1+SUM($H$4:$H112)-SUMIFS($E$4:$E112,$F$4:$F112,"open"))</f>
        <v/>
      </c>
      <c r="J112" s="12"/>
    </row>
    <row r="113" spans="1:10" ht="15" customHeight="1" x14ac:dyDescent="0.2">
      <c r="A113" s="11"/>
      <c r="B113" s="12"/>
      <c r="C113" s="12"/>
      <c r="D113" s="13"/>
      <c r="E113" s="14"/>
      <c r="F113" s="12"/>
      <c r="G113" s="15" t="str">
        <f t="shared" si="2"/>
        <v/>
      </c>
      <c r="H113" s="15" t="str">
        <f t="shared" si="3"/>
        <v/>
      </c>
      <c r="I113" s="15" t="str">
        <f>IF($A113="","",$H$1+SUM($H$4:$H113)-SUMIFS($E$4:$E113,$F$4:$F113,"open"))</f>
        <v/>
      </c>
      <c r="J113" s="12"/>
    </row>
    <row r="114" spans="1:10" ht="15" customHeight="1" x14ac:dyDescent="0.2">
      <c r="A114" s="11"/>
      <c r="B114" s="12"/>
      <c r="C114" s="12"/>
      <c r="D114" s="13"/>
      <c r="E114" s="14"/>
      <c r="F114" s="12"/>
      <c r="G114" s="15" t="str">
        <f t="shared" si="2"/>
        <v/>
      </c>
      <c r="H114" s="15" t="str">
        <f t="shared" si="3"/>
        <v/>
      </c>
      <c r="I114" s="15" t="str">
        <f>IF($A114="","",$H$1+SUM($H$4:$H114)-SUMIFS($E$4:$E114,$F$4:$F114,"open"))</f>
        <v/>
      </c>
      <c r="J114" s="12"/>
    </row>
    <row r="115" spans="1:10" ht="15" customHeight="1" x14ac:dyDescent="0.2">
      <c r="A115" s="11"/>
      <c r="B115" s="12"/>
      <c r="C115" s="12"/>
      <c r="D115" s="13"/>
      <c r="E115" s="14"/>
      <c r="F115" s="12"/>
      <c r="G115" s="15" t="str">
        <f t="shared" si="2"/>
        <v/>
      </c>
      <c r="H115" s="15" t="str">
        <f t="shared" si="3"/>
        <v/>
      </c>
      <c r="I115" s="15" t="str">
        <f>IF($A115="","",$H$1+SUM($H$4:$H115)-SUMIFS($E$4:$E115,$F$4:$F115,"open"))</f>
        <v/>
      </c>
      <c r="J115" s="12"/>
    </row>
    <row r="116" spans="1:10" ht="15" customHeight="1" x14ac:dyDescent="0.2">
      <c r="A116" s="11"/>
      <c r="B116" s="12"/>
      <c r="C116" s="12"/>
      <c r="D116" s="13"/>
      <c r="E116" s="14"/>
      <c r="F116" s="12"/>
      <c r="G116" s="15" t="str">
        <f t="shared" si="2"/>
        <v/>
      </c>
      <c r="H116" s="15" t="str">
        <f t="shared" si="3"/>
        <v/>
      </c>
      <c r="I116" s="15" t="str">
        <f>IF($A116="","",$H$1+SUM($H$4:$H116)-SUMIFS($E$4:$E116,$F$4:$F116,"open"))</f>
        <v/>
      </c>
      <c r="J116" s="12"/>
    </row>
    <row r="117" spans="1:10" ht="15" customHeight="1" x14ac:dyDescent="0.2">
      <c r="A117" s="11"/>
      <c r="B117" s="12"/>
      <c r="C117" s="12"/>
      <c r="D117" s="13"/>
      <c r="E117" s="14"/>
      <c r="F117" s="12"/>
      <c r="G117" s="15" t="str">
        <f t="shared" si="2"/>
        <v/>
      </c>
      <c r="H117" s="15" t="str">
        <f t="shared" si="3"/>
        <v/>
      </c>
      <c r="I117" s="15" t="str">
        <f>IF($A117="","",$H$1+SUM($H$4:$H117)-SUMIFS($E$4:$E117,$F$4:$F117,"open"))</f>
        <v/>
      </c>
      <c r="J117" s="12"/>
    </row>
    <row r="118" spans="1:10" ht="15" customHeight="1" x14ac:dyDescent="0.2">
      <c r="A118" s="11"/>
      <c r="B118" s="12"/>
      <c r="C118" s="12"/>
      <c r="D118" s="13"/>
      <c r="E118" s="14"/>
      <c r="F118" s="12"/>
      <c r="G118" s="15" t="str">
        <f t="shared" si="2"/>
        <v/>
      </c>
      <c r="H118" s="15" t="str">
        <f t="shared" si="3"/>
        <v/>
      </c>
      <c r="I118" s="15" t="str">
        <f>IF($A118="","",$H$1+SUM($H$4:$H118)-SUMIFS($E$4:$E118,$F$4:$F118,"open"))</f>
        <v/>
      </c>
      <c r="J118" s="12"/>
    </row>
    <row r="119" spans="1:10" ht="15" customHeight="1" x14ac:dyDescent="0.2">
      <c r="A119" s="11"/>
      <c r="B119" s="12"/>
      <c r="C119" s="12"/>
      <c r="D119" s="13"/>
      <c r="E119" s="14"/>
      <c r="F119" s="12"/>
      <c r="G119" s="15" t="str">
        <f t="shared" si="2"/>
        <v/>
      </c>
      <c r="H119" s="15" t="str">
        <f t="shared" si="3"/>
        <v/>
      </c>
      <c r="I119" s="15" t="str">
        <f>IF($A119="","",$H$1+SUM($H$4:$H119)-SUMIFS($E$4:$E119,$F$4:$F119,"open"))</f>
        <v/>
      </c>
      <c r="J119" s="12"/>
    </row>
    <row r="120" spans="1:10" ht="15" customHeight="1" x14ac:dyDescent="0.2">
      <c r="A120" s="11"/>
      <c r="B120" s="12"/>
      <c r="C120" s="12"/>
      <c r="D120" s="13"/>
      <c r="E120" s="14"/>
      <c r="F120" s="12"/>
      <c r="G120" s="15" t="str">
        <f t="shared" si="2"/>
        <v/>
      </c>
      <c r="H120" s="15" t="str">
        <f t="shared" si="3"/>
        <v/>
      </c>
      <c r="I120" s="15" t="str">
        <f>IF($A120="","",$H$1+SUM($H$4:$H120)-SUMIFS($E$4:$E120,$F$4:$F120,"open"))</f>
        <v/>
      </c>
      <c r="J120" s="12"/>
    </row>
    <row r="121" spans="1:10" ht="15" customHeight="1" x14ac:dyDescent="0.2">
      <c r="A121" s="11"/>
      <c r="B121" s="12"/>
      <c r="C121" s="12"/>
      <c r="D121" s="13"/>
      <c r="E121" s="14"/>
      <c r="F121" s="12"/>
      <c r="G121" s="15" t="str">
        <f t="shared" si="2"/>
        <v/>
      </c>
      <c r="H121" s="15" t="str">
        <f t="shared" si="3"/>
        <v/>
      </c>
      <c r="I121" s="15" t="str">
        <f>IF($A121="","",$H$1+SUM($H$4:$H121)-SUMIFS($E$4:$E121,$F$4:$F121,"open"))</f>
        <v/>
      </c>
      <c r="J121" s="12"/>
    </row>
    <row r="122" spans="1:10" ht="15" customHeight="1" x14ac:dyDescent="0.2">
      <c r="A122" s="11"/>
      <c r="B122" s="12"/>
      <c r="C122" s="12"/>
      <c r="D122" s="13"/>
      <c r="E122" s="14"/>
      <c r="F122" s="12"/>
      <c r="G122" s="15" t="str">
        <f t="shared" si="2"/>
        <v/>
      </c>
      <c r="H122" s="15" t="str">
        <f t="shared" si="3"/>
        <v/>
      </c>
      <c r="I122" s="15" t="str">
        <f>IF($A122="","",$H$1+SUM($H$4:$H122)-SUMIFS($E$4:$E122,$F$4:$F122,"open"))</f>
        <v/>
      </c>
      <c r="J122" s="12"/>
    </row>
    <row r="123" spans="1:10" ht="15" customHeight="1" x14ac:dyDescent="0.2">
      <c r="A123" s="11"/>
      <c r="B123" s="12"/>
      <c r="C123" s="12"/>
      <c r="D123" s="13"/>
      <c r="E123" s="14"/>
      <c r="F123" s="12"/>
      <c r="G123" s="15" t="str">
        <f t="shared" si="2"/>
        <v/>
      </c>
      <c r="H123" s="15" t="str">
        <f t="shared" si="3"/>
        <v/>
      </c>
      <c r="I123" s="15" t="str">
        <f>IF($A123="","",$H$1+SUM($H$4:$H123)-SUMIFS($E$4:$E123,$F$4:$F123,"open"))</f>
        <v/>
      </c>
      <c r="J123" s="12"/>
    </row>
    <row r="124" spans="1:10" ht="15" customHeight="1" x14ac:dyDescent="0.2">
      <c r="A124" s="11"/>
      <c r="B124" s="12"/>
      <c r="C124" s="12"/>
      <c r="D124" s="13"/>
      <c r="E124" s="14"/>
      <c r="F124" s="12"/>
      <c r="G124" s="15" t="str">
        <f t="shared" si="2"/>
        <v/>
      </c>
      <c r="H124" s="15" t="str">
        <f t="shared" si="3"/>
        <v/>
      </c>
      <c r="I124" s="15" t="str">
        <f>IF($A124="","",$H$1+SUM($H$4:$H124)-SUMIFS($E$4:$E124,$F$4:$F124,"open"))</f>
        <v/>
      </c>
      <c r="J124" s="12"/>
    </row>
    <row r="125" spans="1:10" ht="15" customHeight="1" x14ac:dyDescent="0.2">
      <c r="A125" s="11"/>
      <c r="B125" s="12"/>
      <c r="C125" s="12"/>
      <c r="D125" s="13"/>
      <c r="E125" s="14"/>
      <c r="F125" s="12"/>
      <c r="G125" s="15" t="str">
        <f t="shared" si="2"/>
        <v/>
      </c>
      <c r="H125" s="15" t="str">
        <f t="shared" si="3"/>
        <v/>
      </c>
      <c r="I125" s="15" t="str">
        <f>IF($A125="","",$H$1+SUM($H$4:$H125)-SUMIFS($E$4:$E125,$F$4:$F125,"open"))</f>
        <v/>
      </c>
      <c r="J125" s="12"/>
    </row>
    <row r="126" spans="1:10" ht="15" customHeight="1" x14ac:dyDescent="0.2">
      <c r="A126" s="11"/>
      <c r="B126" s="12"/>
      <c r="C126" s="12"/>
      <c r="D126" s="13"/>
      <c r="E126" s="14"/>
      <c r="F126" s="12"/>
      <c r="G126" s="15" t="str">
        <f t="shared" si="2"/>
        <v/>
      </c>
      <c r="H126" s="15" t="str">
        <f t="shared" si="3"/>
        <v/>
      </c>
      <c r="I126" s="15" t="str">
        <f>IF($A126="","",$H$1+SUM($H$4:$H126)-SUMIFS($E$4:$E126,$F$4:$F126,"open"))</f>
        <v/>
      </c>
      <c r="J126" s="12"/>
    </row>
    <row r="127" spans="1:10" ht="15" customHeight="1" x14ac:dyDescent="0.2">
      <c r="A127" s="11"/>
      <c r="B127" s="12"/>
      <c r="C127" s="12"/>
      <c r="D127" s="13"/>
      <c r="E127" s="14"/>
      <c r="F127" s="12"/>
      <c r="G127" s="15" t="str">
        <f t="shared" si="2"/>
        <v/>
      </c>
      <c r="H127" s="15" t="str">
        <f t="shared" si="3"/>
        <v/>
      </c>
      <c r="I127" s="15" t="str">
        <f>IF($A127="","",$H$1+SUM($H$4:$H127)-SUMIFS($E$4:$E127,$F$4:$F127,"open"))</f>
        <v/>
      </c>
      <c r="J127" s="12"/>
    </row>
    <row r="128" spans="1:10" ht="15" customHeight="1" x14ac:dyDescent="0.2">
      <c r="A128" s="11"/>
      <c r="B128" s="12"/>
      <c r="C128" s="12"/>
      <c r="D128" s="13"/>
      <c r="E128" s="14"/>
      <c r="F128" s="12"/>
      <c r="G128" s="15" t="str">
        <f t="shared" si="2"/>
        <v/>
      </c>
      <c r="H128" s="15" t="str">
        <f t="shared" si="3"/>
        <v/>
      </c>
      <c r="I128" s="15" t="str">
        <f>IF($A128="","",$H$1+SUM($H$4:$H128)-SUMIFS($E$4:$E128,$F$4:$F128,"open"))</f>
        <v/>
      </c>
      <c r="J128" s="12"/>
    </row>
    <row r="129" spans="1:10" ht="15" customHeight="1" x14ac:dyDescent="0.2">
      <c r="A129" s="11"/>
      <c r="B129" s="12"/>
      <c r="C129" s="12"/>
      <c r="D129" s="13"/>
      <c r="E129" s="14"/>
      <c r="F129" s="12"/>
      <c r="G129" s="15" t="str">
        <f t="shared" si="2"/>
        <v/>
      </c>
      <c r="H129" s="15" t="str">
        <f t="shared" si="3"/>
        <v/>
      </c>
      <c r="I129" s="15" t="str">
        <f>IF($A129="","",$H$1+SUM($H$4:$H129)-SUMIFS($E$4:$E129,$F$4:$F129,"open"))</f>
        <v/>
      </c>
      <c r="J129" s="12"/>
    </row>
    <row r="130" spans="1:10" ht="15" customHeight="1" x14ac:dyDescent="0.2">
      <c r="A130" s="11"/>
      <c r="B130" s="12"/>
      <c r="C130" s="12"/>
      <c r="D130" s="13"/>
      <c r="E130" s="14"/>
      <c r="F130" s="12"/>
      <c r="G130" s="15" t="str">
        <f t="shared" si="2"/>
        <v/>
      </c>
      <c r="H130" s="15" t="str">
        <f t="shared" si="3"/>
        <v/>
      </c>
      <c r="I130" s="15" t="str">
        <f>IF($A130="","",$H$1+SUM($H$4:$H130)-SUMIFS($E$4:$E130,$F$4:$F130,"open"))</f>
        <v/>
      </c>
      <c r="J130" s="12"/>
    </row>
    <row r="131" spans="1:10" ht="15" customHeight="1" x14ac:dyDescent="0.2">
      <c r="A131" s="11"/>
      <c r="B131" s="12"/>
      <c r="C131" s="12"/>
      <c r="D131" s="13"/>
      <c r="E131" s="14"/>
      <c r="F131" s="12"/>
      <c r="G131" s="15" t="str">
        <f t="shared" si="2"/>
        <v/>
      </c>
      <c r="H131" s="15" t="str">
        <f t="shared" si="3"/>
        <v/>
      </c>
      <c r="I131" s="15" t="str">
        <f>IF($A131="","",$H$1+SUM($H$4:$H131)-SUMIFS($E$4:$E131,$F$4:$F131,"open"))</f>
        <v/>
      </c>
      <c r="J131" s="12"/>
    </row>
    <row r="132" spans="1:10" ht="15" customHeight="1" x14ac:dyDescent="0.2">
      <c r="A132" s="11"/>
      <c r="B132" s="12"/>
      <c r="C132" s="12"/>
      <c r="D132" s="13"/>
      <c r="E132" s="14"/>
      <c r="F132" s="12"/>
      <c r="G132" s="15" t="str">
        <f t="shared" ref="G132:G195" si="4">IF($A132="","",IF($F132="won",$E132*$D132,IF($F132="void",$E132,0)))</f>
        <v/>
      </c>
      <c r="H132" s="15" t="str">
        <f t="shared" ref="H132:H195" si="5">IF($A132="","",IF(OR($F132="open",$F132=""),0,$G132-$E132))</f>
        <v/>
      </c>
      <c r="I132" s="15" t="str">
        <f>IF($A132="","",$H$1+SUM($H$4:$H132)-SUMIFS($E$4:$E132,$F$4:$F132,"open"))</f>
        <v/>
      </c>
      <c r="J132" s="12"/>
    </row>
    <row r="133" spans="1:10" ht="15" customHeight="1" x14ac:dyDescent="0.2">
      <c r="A133" s="11"/>
      <c r="B133" s="12"/>
      <c r="C133" s="12"/>
      <c r="D133" s="13"/>
      <c r="E133" s="14"/>
      <c r="F133" s="12"/>
      <c r="G133" s="15" t="str">
        <f t="shared" si="4"/>
        <v/>
      </c>
      <c r="H133" s="15" t="str">
        <f t="shared" si="5"/>
        <v/>
      </c>
      <c r="I133" s="15" t="str">
        <f>IF($A133="","",$H$1+SUM($H$4:$H133)-SUMIFS($E$4:$E133,$F$4:$F133,"open"))</f>
        <v/>
      </c>
      <c r="J133" s="12"/>
    </row>
    <row r="134" spans="1:10" ht="15" customHeight="1" x14ac:dyDescent="0.2">
      <c r="A134" s="11"/>
      <c r="B134" s="12"/>
      <c r="C134" s="12"/>
      <c r="D134" s="13"/>
      <c r="E134" s="14"/>
      <c r="F134" s="12"/>
      <c r="G134" s="15" t="str">
        <f t="shared" si="4"/>
        <v/>
      </c>
      <c r="H134" s="15" t="str">
        <f t="shared" si="5"/>
        <v/>
      </c>
      <c r="I134" s="15" t="str">
        <f>IF($A134="","",$H$1+SUM($H$4:$H134)-SUMIFS($E$4:$E134,$F$4:$F134,"open"))</f>
        <v/>
      </c>
      <c r="J134" s="12"/>
    </row>
    <row r="135" spans="1:10" ht="15" customHeight="1" x14ac:dyDescent="0.2">
      <c r="A135" s="11"/>
      <c r="B135" s="12"/>
      <c r="C135" s="12"/>
      <c r="D135" s="13"/>
      <c r="E135" s="14"/>
      <c r="F135" s="12"/>
      <c r="G135" s="15" t="str">
        <f t="shared" si="4"/>
        <v/>
      </c>
      <c r="H135" s="15" t="str">
        <f t="shared" si="5"/>
        <v/>
      </c>
      <c r="I135" s="15" t="str">
        <f>IF($A135="","",$H$1+SUM($H$4:$H135)-SUMIFS($E$4:$E135,$F$4:$F135,"open"))</f>
        <v/>
      </c>
      <c r="J135" s="12"/>
    </row>
    <row r="136" spans="1:10" ht="15" customHeight="1" x14ac:dyDescent="0.2">
      <c r="A136" s="11"/>
      <c r="B136" s="12"/>
      <c r="C136" s="12"/>
      <c r="D136" s="13"/>
      <c r="E136" s="14"/>
      <c r="F136" s="12"/>
      <c r="G136" s="15" t="str">
        <f t="shared" si="4"/>
        <v/>
      </c>
      <c r="H136" s="15" t="str">
        <f t="shared" si="5"/>
        <v/>
      </c>
      <c r="I136" s="15" t="str">
        <f>IF($A136="","",$H$1+SUM($H$4:$H136)-SUMIFS($E$4:$E136,$F$4:$F136,"open"))</f>
        <v/>
      </c>
      <c r="J136" s="12"/>
    </row>
    <row r="137" spans="1:10" ht="15" customHeight="1" x14ac:dyDescent="0.2">
      <c r="A137" s="11"/>
      <c r="B137" s="12"/>
      <c r="C137" s="12"/>
      <c r="D137" s="13"/>
      <c r="E137" s="14"/>
      <c r="F137" s="12"/>
      <c r="G137" s="15" t="str">
        <f t="shared" si="4"/>
        <v/>
      </c>
      <c r="H137" s="15" t="str">
        <f t="shared" si="5"/>
        <v/>
      </c>
      <c r="I137" s="15" t="str">
        <f>IF($A137="","",$H$1+SUM($H$4:$H137)-SUMIFS($E$4:$E137,$F$4:$F137,"open"))</f>
        <v/>
      </c>
      <c r="J137" s="12"/>
    </row>
    <row r="138" spans="1:10" ht="15" customHeight="1" x14ac:dyDescent="0.2">
      <c r="A138" s="11"/>
      <c r="B138" s="12"/>
      <c r="C138" s="12"/>
      <c r="D138" s="13"/>
      <c r="E138" s="14"/>
      <c r="F138" s="12"/>
      <c r="G138" s="15" t="str">
        <f t="shared" si="4"/>
        <v/>
      </c>
      <c r="H138" s="15" t="str">
        <f t="shared" si="5"/>
        <v/>
      </c>
      <c r="I138" s="15" t="str">
        <f>IF($A138="","",$H$1+SUM($H$4:$H138)-SUMIFS($E$4:$E138,$F$4:$F138,"open"))</f>
        <v/>
      </c>
      <c r="J138" s="12"/>
    </row>
    <row r="139" spans="1:10" ht="15" customHeight="1" x14ac:dyDescent="0.2">
      <c r="A139" s="11"/>
      <c r="B139" s="12"/>
      <c r="C139" s="12"/>
      <c r="D139" s="13"/>
      <c r="E139" s="14"/>
      <c r="F139" s="12"/>
      <c r="G139" s="15" t="str">
        <f t="shared" si="4"/>
        <v/>
      </c>
      <c r="H139" s="15" t="str">
        <f t="shared" si="5"/>
        <v/>
      </c>
      <c r="I139" s="15" t="str">
        <f>IF($A139="","",$H$1+SUM($H$4:$H139)-SUMIFS($E$4:$E139,$F$4:$F139,"open"))</f>
        <v/>
      </c>
      <c r="J139" s="12"/>
    </row>
    <row r="140" spans="1:10" ht="15" customHeight="1" x14ac:dyDescent="0.2">
      <c r="A140" s="11"/>
      <c r="B140" s="12"/>
      <c r="C140" s="12"/>
      <c r="D140" s="13"/>
      <c r="E140" s="14"/>
      <c r="F140" s="12"/>
      <c r="G140" s="15" t="str">
        <f t="shared" si="4"/>
        <v/>
      </c>
      <c r="H140" s="15" t="str">
        <f t="shared" si="5"/>
        <v/>
      </c>
      <c r="I140" s="15" t="str">
        <f>IF($A140="","",$H$1+SUM($H$4:$H140)-SUMIFS($E$4:$E140,$F$4:$F140,"open"))</f>
        <v/>
      </c>
      <c r="J140" s="12"/>
    </row>
    <row r="141" spans="1:10" ht="15" customHeight="1" x14ac:dyDescent="0.2">
      <c r="A141" s="11"/>
      <c r="B141" s="12"/>
      <c r="C141" s="12"/>
      <c r="D141" s="13"/>
      <c r="E141" s="14"/>
      <c r="F141" s="12"/>
      <c r="G141" s="15" t="str">
        <f t="shared" si="4"/>
        <v/>
      </c>
      <c r="H141" s="15" t="str">
        <f t="shared" si="5"/>
        <v/>
      </c>
      <c r="I141" s="15" t="str">
        <f>IF($A141="","",$H$1+SUM($H$4:$H141)-SUMIFS($E$4:$E141,$F$4:$F141,"open"))</f>
        <v/>
      </c>
      <c r="J141" s="12"/>
    </row>
    <row r="142" spans="1:10" ht="15" customHeight="1" x14ac:dyDescent="0.2">
      <c r="A142" s="11"/>
      <c r="B142" s="12"/>
      <c r="C142" s="12"/>
      <c r="D142" s="13"/>
      <c r="E142" s="14"/>
      <c r="F142" s="12"/>
      <c r="G142" s="15" t="str">
        <f t="shared" si="4"/>
        <v/>
      </c>
      <c r="H142" s="15" t="str">
        <f t="shared" si="5"/>
        <v/>
      </c>
      <c r="I142" s="15" t="str">
        <f>IF($A142="","",$H$1+SUM($H$4:$H142)-SUMIFS($E$4:$E142,$F$4:$F142,"open"))</f>
        <v/>
      </c>
      <c r="J142" s="12"/>
    </row>
    <row r="143" spans="1:10" ht="15" customHeight="1" x14ac:dyDescent="0.2">
      <c r="A143" s="11"/>
      <c r="B143" s="12"/>
      <c r="C143" s="12"/>
      <c r="D143" s="13"/>
      <c r="E143" s="14"/>
      <c r="F143" s="12"/>
      <c r="G143" s="15" t="str">
        <f t="shared" si="4"/>
        <v/>
      </c>
      <c r="H143" s="15" t="str">
        <f t="shared" si="5"/>
        <v/>
      </c>
      <c r="I143" s="15" t="str">
        <f>IF($A143="","",$H$1+SUM($H$4:$H143)-SUMIFS($E$4:$E143,$F$4:$F143,"open"))</f>
        <v/>
      </c>
      <c r="J143" s="12"/>
    </row>
    <row r="144" spans="1:10" ht="15" customHeight="1" x14ac:dyDescent="0.2">
      <c r="A144" s="11"/>
      <c r="B144" s="12"/>
      <c r="C144" s="12"/>
      <c r="D144" s="13"/>
      <c r="E144" s="14"/>
      <c r="F144" s="12"/>
      <c r="G144" s="15" t="str">
        <f t="shared" si="4"/>
        <v/>
      </c>
      <c r="H144" s="15" t="str">
        <f t="shared" si="5"/>
        <v/>
      </c>
      <c r="I144" s="15" t="str">
        <f>IF($A144="","",$H$1+SUM($H$4:$H144)-SUMIFS($E$4:$E144,$F$4:$F144,"open"))</f>
        <v/>
      </c>
      <c r="J144" s="12"/>
    </row>
    <row r="145" spans="1:10" ht="15" customHeight="1" x14ac:dyDescent="0.2">
      <c r="A145" s="11"/>
      <c r="B145" s="12"/>
      <c r="C145" s="12"/>
      <c r="D145" s="13"/>
      <c r="E145" s="14"/>
      <c r="F145" s="12"/>
      <c r="G145" s="15" t="str">
        <f t="shared" si="4"/>
        <v/>
      </c>
      <c r="H145" s="15" t="str">
        <f t="shared" si="5"/>
        <v/>
      </c>
      <c r="I145" s="15" t="str">
        <f>IF($A145="","",$H$1+SUM($H$4:$H145)-SUMIFS($E$4:$E145,$F$4:$F145,"open"))</f>
        <v/>
      </c>
      <c r="J145" s="12"/>
    </row>
    <row r="146" spans="1:10" ht="15" customHeight="1" x14ac:dyDescent="0.2">
      <c r="A146" s="11"/>
      <c r="B146" s="12"/>
      <c r="C146" s="12"/>
      <c r="D146" s="13"/>
      <c r="E146" s="14"/>
      <c r="F146" s="12"/>
      <c r="G146" s="15" t="str">
        <f t="shared" si="4"/>
        <v/>
      </c>
      <c r="H146" s="15" t="str">
        <f t="shared" si="5"/>
        <v/>
      </c>
      <c r="I146" s="15" t="str">
        <f>IF($A146="","",$H$1+SUM($H$4:$H146)-SUMIFS($E$4:$E146,$F$4:$F146,"open"))</f>
        <v/>
      </c>
      <c r="J146" s="12"/>
    </row>
    <row r="147" spans="1:10" ht="15" customHeight="1" x14ac:dyDescent="0.2">
      <c r="A147" s="11"/>
      <c r="B147" s="12"/>
      <c r="C147" s="12"/>
      <c r="D147" s="13"/>
      <c r="E147" s="14"/>
      <c r="F147" s="12"/>
      <c r="G147" s="15" t="str">
        <f t="shared" si="4"/>
        <v/>
      </c>
      <c r="H147" s="15" t="str">
        <f t="shared" si="5"/>
        <v/>
      </c>
      <c r="I147" s="15" t="str">
        <f>IF($A147="","",$H$1+SUM($H$4:$H147)-SUMIFS($E$4:$E147,$F$4:$F147,"open"))</f>
        <v/>
      </c>
      <c r="J147" s="12"/>
    </row>
    <row r="148" spans="1:10" ht="15" customHeight="1" x14ac:dyDescent="0.2">
      <c r="A148" s="11"/>
      <c r="B148" s="12"/>
      <c r="C148" s="12"/>
      <c r="D148" s="13"/>
      <c r="E148" s="14"/>
      <c r="F148" s="12"/>
      <c r="G148" s="15" t="str">
        <f t="shared" si="4"/>
        <v/>
      </c>
      <c r="H148" s="15" t="str">
        <f t="shared" si="5"/>
        <v/>
      </c>
      <c r="I148" s="15" t="str">
        <f>IF($A148="","",$H$1+SUM($H$4:$H148)-SUMIFS($E$4:$E148,$F$4:$F148,"open"))</f>
        <v/>
      </c>
      <c r="J148" s="12"/>
    </row>
    <row r="149" spans="1:10" ht="15" customHeight="1" x14ac:dyDescent="0.2">
      <c r="A149" s="11"/>
      <c r="B149" s="12"/>
      <c r="C149" s="12"/>
      <c r="D149" s="13"/>
      <c r="E149" s="14"/>
      <c r="F149" s="12"/>
      <c r="G149" s="15" t="str">
        <f t="shared" si="4"/>
        <v/>
      </c>
      <c r="H149" s="15" t="str">
        <f t="shared" si="5"/>
        <v/>
      </c>
      <c r="I149" s="15" t="str">
        <f>IF($A149="","",$H$1+SUM($H$4:$H149)-SUMIFS($E$4:$E149,$F$4:$F149,"open"))</f>
        <v/>
      </c>
      <c r="J149" s="12"/>
    </row>
    <row r="150" spans="1:10" ht="15" customHeight="1" x14ac:dyDescent="0.2">
      <c r="A150" s="11"/>
      <c r="B150" s="12"/>
      <c r="C150" s="12"/>
      <c r="D150" s="13"/>
      <c r="E150" s="14"/>
      <c r="F150" s="12"/>
      <c r="G150" s="15" t="str">
        <f t="shared" si="4"/>
        <v/>
      </c>
      <c r="H150" s="15" t="str">
        <f t="shared" si="5"/>
        <v/>
      </c>
      <c r="I150" s="15" t="str">
        <f>IF($A150="","",$H$1+SUM($H$4:$H150)-SUMIFS($E$4:$E150,$F$4:$F150,"open"))</f>
        <v/>
      </c>
      <c r="J150" s="12"/>
    </row>
    <row r="151" spans="1:10" ht="15" customHeight="1" x14ac:dyDescent="0.2">
      <c r="A151" s="11"/>
      <c r="B151" s="12"/>
      <c r="C151" s="12"/>
      <c r="D151" s="13"/>
      <c r="E151" s="14"/>
      <c r="F151" s="12"/>
      <c r="G151" s="15" t="str">
        <f t="shared" si="4"/>
        <v/>
      </c>
      <c r="H151" s="15" t="str">
        <f t="shared" si="5"/>
        <v/>
      </c>
      <c r="I151" s="15" t="str">
        <f>IF($A151="","",$H$1+SUM($H$4:$H151)-SUMIFS($E$4:$E151,$F$4:$F151,"open"))</f>
        <v/>
      </c>
      <c r="J151" s="12"/>
    </row>
    <row r="152" spans="1:10" ht="15" customHeight="1" x14ac:dyDescent="0.2">
      <c r="A152" s="11"/>
      <c r="B152" s="12"/>
      <c r="C152" s="12"/>
      <c r="D152" s="13"/>
      <c r="E152" s="14"/>
      <c r="F152" s="12"/>
      <c r="G152" s="15" t="str">
        <f t="shared" si="4"/>
        <v/>
      </c>
      <c r="H152" s="15" t="str">
        <f t="shared" si="5"/>
        <v/>
      </c>
      <c r="I152" s="15" t="str">
        <f>IF($A152="","",$H$1+SUM($H$4:$H152)-SUMIFS($E$4:$E152,$F$4:$F152,"open"))</f>
        <v/>
      </c>
      <c r="J152" s="12"/>
    </row>
    <row r="153" spans="1:10" ht="15" customHeight="1" x14ac:dyDescent="0.2">
      <c r="A153" s="11"/>
      <c r="B153" s="12"/>
      <c r="C153" s="12"/>
      <c r="D153" s="13"/>
      <c r="E153" s="14"/>
      <c r="F153" s="12"/>
      <c r="G153" s="15" t="str">
        <f t="shared" si="4"/>
        <v/>
      </c>
      <c r="H153" s="15" t="str">
        <f t="shared" si="5"/>
        <v/>
      </c>
      <c r="I153" s="15" t="str">
        <f>IF($A153="","",$H$1+SUM($H$4:$H153)-SUMIFS($E$4:$E153,$F$4:$F153,"open"))</f>
        <v/>
      </c>
      <c r="J153" s="12"/>
    </row>
    <row r="154" spans="1:10" ht="15" customHeight="1" x14ac:dyDescent="0.2">
      <c r="A154" s="11"/>
      <c r="B154" s="12"/>
      <c r="C154" s="12"/>
      <c r="D154" s="13"/>
      <c r="E154" s="14"/>
      <c r="F154" s="12"/>
      <c r="G154" s="15" t="str">
        <f t="shared" si="4"/>
        <v/>
      </c>
      <c r="H154" s="15" t="str">
        <f t="shared" si="5"/>
        <v/>
      </c>
      <c r="I154" s="15" t="str">
        <f>IF($A154="","",$H$1+SUM($H$4:$H154)-SUMIFS($E$4:$E154,$F$4:$F154,"open"))</f>
        <v/>
      </c>
      <c r="J154" s="12"/>
    </row>
    <row r="155" spans="1:10" ht="15" customHeight="1" x14ac:dyDescent="0.2">
      <c r="A155" s="11"/>
      <c r="B155" s="12"/>
      <c r="C155" s="12"/>
      <c r="D155" s="13"/>
      <c r="E155" s="14"/>
      <c r="F155" s="12"/>
      <c r="G155" s="15" t="str">
        <f t="shared" si="4"/>
        <v/>
      </c>
      <c r="H155" s="15" t="str">
        <f t="shared" si="5"/>
        <v/>
      </c>
      <c r="I155" s="15" t="str">
        <f>IF($A155="","",$H$1+SUM($H$4:$H155)-SUMIFS($E$4:$E155,$F$4:$F155,"open"))</f>
        <v/>
      </c>
      <c r="J155" s="12"/>
    </row>
    <row r="156" spans="1:10" ht="15" customHeight="1" x14ac:dyDescent="0.2">
      <c r="A156" s="11"/>
      <c r="B156" s="12"/>
      <c r="C156" s="12"/>
      <c r="D156" s="13"/>
      <c r="E156" s="14"/>
      <c r="F156" s="12"/>
      <c r="G156" s="15" t="str">
        <f t="shared" si="4"/>
        <v/>
      </c>
      <c r="H156" s="15" t="str">
        <f t="shared" si="5"/>
        <v/>
      </c>
      <c r="I156" s="15" t="str">
        <f>IF($A156="","",$H$1+SUM($H$4:$H156)-SUMIFS($E$4:$E156,$F$4:$F156,"open"))</f>
        <v/>
      </c>
      <c r="J156" s="12"/>
    </row>
    <row r="157" spans="1:10" ht="15" customHeight="1" x14ac:dyDescent="0.2">
      <c r="A157" s="11"/>
      <c r="B157" s="12"/>
      <c r="C157" s="12"/>
      <c r="D157" s="13"/>
      <c r="E157" s="14"/>
      <c r="F157" s="12"/>
      <c r="G157" s="15" t="str">
        <f t="shared" si="4"/>
        <v/>
      </c>
      <c r="H157" s="15" t="str">
        <f t="shared" si="5"/>
        <v/>
      </c>
      <c r="I157" s="15" t="str">
        <f>IF($A157="","",$H$1+SUM($H$4:$H157)-SUMIFS($E$4:$E157,$F$4:$F157,"open"))</f>
        <v/>
      </c>
      <c r="J157" s="12"/>
    </row>
    <row r="158" spans="1:10" ht="15" customHeight="1" x14ac:dyDescent="0.2">
      <c r="A158" s="11"/>
      <c r="B158" s="12"/>
      <c r="C158" s="12"/>
      <c r="D158" s="13"/>
      <c r="E158" s="14"/>
      <c r="F158" s="12"/>
      <c r="G158" s="15" t="str">
        <f t="shared" si="4"/>
        <v/>
      </c>
      <c r="H158" s="15" t="str">
        <f t="shared" si="5"/>
        <v/>
      </c>
      <c r="I158" s="15" t="str">
        <f>IF($A158="","",$H$1+SUM($H$4:$H158)-SUMIFS($E$4:$E158,$F$4:$F158,"open"))</f>
        <v/>
      </c>
      <c r="J158" s="12"/>
    </row>
    <row r="159" spans="1:10" ht="15" customHeight="1" x14ac:dyDescent="0.2">
      <c r="A159" s="11"/>
      <c r="B159" s="12"/>
      <c r="C159" s="12"/>
      <c r="D159" s="13"/>
      <c r="E159" s="14"/>
      <c r="F159" s="12"/>
      <c r="G159" s="15" t="str">
        <f t="shared" si="4"/>
        <v/>
      </c>
      <c r="H159" s="15" t="str">
        <f t="shared" si="5"/>
        <v/>
      </c>
      <c r="I159" s="15" t="str">
        <f>IF($A159="","",$H$1+SUM($H$4:$H159)-SUMIFS($E$4:$E159,$F$4:$F159,"open"))</f>
        <v/>
      </c>
      <c r="J159" s="12"/>
    </row>
    <row r="160" spans="1:10" ht="15" customHeight="1" x14ac:dyDescent="0.2">
      <c r="A160" s="11"/>
      <c r="B160" s="12"/>
      <c r="C160" s="12"/>
      <c r="D160" s="13"/>
      <c r="E160" s="14"/>
      <c r="F160" s="12"/>
      <c r="G160" s="15" t="str">
        <f t="shared" si="4"/>
        <v/>
      </c>
      <c r="H160" s="15" t="str">
        <f t="shared" si="5"/>
        <v/>
      </c>
      <c r="I160" s="15" t="str">
        <f>IF($A160="","",$H$1+SUM($H$4:$H160)-SUMIFS($E$4:$E160,$F$4:$F160,"open"))</f>
        <v/>
      </c>
      <c r="J160" s="12"/>
    </row>
    <row r="161" spans="1:10" ht="15" customHeight="1" x14ac:dyDescent="0.2">
      <c r="A161" s="11"/>
      <c r="B161" s="12"/>
      <c r="C161" s="12"/>
      <c r="D161" s="13"/>
      <c r="E161" s="14"/>
      <c r="F161" s="12"/>
      <c r="G161" s="15" t="str">
        <f t="shared" si="4"/>
        <v/>
      </c>
      <c r="H161" s="15" t="str">
        <f t="shared" si="5"/>
        <v/>
      </c>
      <c r="I161" s="15" t="str">
        <f>IF($A161="","",$H$1+SUM($H$4:$H161)-SUMIFS($E$4:$E161,$F$4:$F161,"open"))</f>
        <v/>
      </c>
      <c r="J161" s="12"/>
    </row>
    <row r="162" spans="1:10" ht="15" customHeight="1" x14ac:dyDescent="0.2">
      <c r="A162" s="11"/>
      <c r="B162" s="12"/>
      <c r="C162" s="12"/>
      <c r="D162" s="13"/>
      <c r="E162" s="14"/>
      <c r="F162" s="12"/>
      <c r="G162" s="15" t="str">
        <f t="shared" si="4"/>
        <v/>
      </c>
      <c r="H162" s="15" t="str">
        <f t="shared" si="5"/>
        <v/>
      </c>
      <c r="I162" s="15" t="str">
        <f>IF($A162="","",$H$1+SUM($H$4:$H162)-SUMIFS($E$4:$E162,$F$4:$F162,"open"))</f>
        <v/>
      </c>
      <c r="J162" s="12"/>
    </row>
    <row r="163" spans="1:10" ht="15" customHeight="1" x14ac:dyDescent="0.2">
      <c r="A163" s="11"/>
      <c r="B163" s="12"/>
      <c r="C163" s="12"/>
      <c r="D163" s="13"/>
      <c r="E163" s="14"/>
      <c r="F163" s="12"/>
      <c r="G163" s="15" t="str">
        <f t="shared" si="4"/>
        <v/>
      </c>
      <c r="H163" s="15" t="str">
        <f t="shared" si="5"/>
        <v/>
      </c>
      <c r="I163" s="15" t="str">
        <f>IF($A163="","",$H$1+SUM($H$4:$H163)-SUMIFS($E$4:$E163,$F$4:$F163,"open"))</f>
        <v/>
      </c>
      <c r="J163" s="12"/>
    </row>
    <row r="164" spans="1:10" ht="15" customHeight="1" x14ac:dyDescent="0.2">
      <c r="A164" s="11"/>
      <c r="B164" s="12"/>
      <c r="C164" s="12"/>
      <c r="D164" s="13"/>
      <c r="E164" s="14"/>
      <c r="F164" s="12"/>
      <c r="G164" s="15" t="str">
        <f t="shared" si="4"/>
        <v/>
      </c>
      <c r="H164" s="15" t="str">
        <f t="shared" si="5"/>
        <v/>
      </c>
      <c r="I164" s="15" t="str">
        <f>IF($A164="","",$H$1+SUM($H$4:$H164)-SUMIFS($E$4:$E164,$F$4:$F164,"open"))</f>
        <v/>
      </c>
      <c r="J164" s="12"/>
    </row>
    <row r="165" spans="1:10" ht="15" customHeight="1" x14ac:dyDescent="0.2">
      <c r="A165" s="11"/>
      <c r="B165" s="12"/>
      <c r="C165" s="12"/>
      <c r="D165" s="13"/>
      <c r="E165" s="14"/>
      <c r="F165" s="12"/>
      <c r="G165" s="15" t="str">
        <f t="shared" si="4"/>
        <v/>
      </c>
      <c r="H165" s="15" t="str">
        <f t="shared" si="5"/>
        <v/>
      </c>
      <c r="I165" s="15" t="str">
        <f>IF($A165="","",$H$1+SUM($H$4:$H165)-SUMIFS($E$4:$E165,$F$4:$F165,"open"))</f>
        <v/>
      </c>
      <c r="J165" s="12"/>
    </row>
    <row r="166" spans="1:10" ht="15" customHeight="1" x14ac:dyDescent="0.2">
      <c r="A166" s="11"/>
      <c r="B166" s="12"/>
      <c r="C166" s="12"/>
      <c r="D166" s="13"/>
      <c r="E166" s="14"/>
      <c r="F166" s="12"/>
      <c r="G166" s="15" t="str">
        <f t="shared" si="4"/>
        <v/>
      </c>
      <c r="H166" s="15" t="str">
        <f t="shared" si="5"/>
        <v/>
      </c>
      <c r="I166" s="15" t="str">
        <f>IF($A166="","",$H$1+SUM($H$4:$H166)-SUMIFS($E$4:$E166,$F$4:$F166,"open"))</f>
        <v/>
      </c>
      <c r="J166" s="12"/>
    </row>
    <row r="167" spans="1:10" ht="15" customHeight="1" x14ac:dyDescent="0.2">
      <c r="A167" s="11"/>
      <c r="B167" s="12"/>
      <c r="C167" s="12"/>
      <c r="D167" s="13"/>
      <c r="E167" s="14"/>
      <c r="F167" s="12"/>
      <c r="G167" s="15" t="str">
        <f t="shared" si="4"/>
        <v/>
      </c>
      <c r="H167" s="15" t="str">
        <f t="shared" si="5"/>
        <v/>
      </c>
      <c r="I167" s="15" t="str">
        <f>IF($A167="","",$H$1+SUM($H$4:$H167)-SUMIFS($E$4:$E167,$F$4:$F167,"open"))</f>
        <v/>
      </c>
      <c r="J167" s="12"/>
    </row>
    <row r="168" spans="1:10" ht="15" customHeight="1" x14ac:dyDescent="0.2">
      <c r="A168" s="11"/>
      <c r="B168" s="12"/>
      <c r="C168" s="12"/>
      <c r="D168" s="13"/>
      <c r="E168" s="14"/>
      <c r="F168" s="12"/>
      <c r="G168" s="15" t="str">
        <f t="shared" si="4"/>
        <v/>
      </c>
      <c r="H168" s="15" t="str">
        <f t="shared" si="5"/>
        <v/>
      </c>
      <c r="I168" s="15" t="str">
        <f>IF($A168="","",$H$1+SUM($H$4:$H168)-SUMIFS($E$4:$E168,$F$4:$F168,"open"))</f>
        <v/>
      </c>
      <c r="J168" s="12"/>
    </row>
    <row r="169" spans="1:10" ht="15" customHeight="1" x14ac:dyDescent="0.2">
      <c r="A169" s="11"/>
      <c r="B169" s="12"/>
      <c r="C169" s="12"/>
      <c r="D169" s="13"/>
      <c r="E169" s="14"/>
      <c r="F169" s="12"/>
      <c r="G169" s="15" t="str">
        <f t="shared" si="4"/>
        <v/>
      </c>
      <c r="H169" s="15" t="str">
        <f t="shared" si="5"/>
        <v/>
      </c>
      <c r="I169" s="15" t="str">
        <f>IF($A169="","",$H$1+SUM($H$4:$H169)-SUMIFS($E$4:$E169,$F$4:$F169,"open"))</f>
        <v/>
      </c>
      <c r="J169" s="12"/>
    </row>
    <row r="170" spans="1:10" ht="15" customHeight="1" x14ac:dyDescent="0.2">
      <c r="A170" s="11"/>
      <c r="B170" s="12"/>
      <c r="C170" s="12"/>
      <c r="D170" s="13"/>
      <c r="E170" s="14"/>
      <c r="F170" s="12"/>
      <c r="G170" s="15" t="str">
        <f t="shared" si="4"/>
        <v/>
      </c>
      <c r="H170" s="15" t="str">
        <f t="shared" si="5"/>
        <v/>
      </c>
      <c r="I170" s="15" t="str">
        <f>IF($A170="","",$H$1+SUM($H$4:$H170)-SUMIFS($E$4:$E170,$F$4:$F170,"open"))</f>
        <v/>
      </c>
      <c r="J170" s="12"/>
    </row>
    <row r="171" spans="1:10" ht="15" customHeight="1" x14ac:dyDescent="0.2">
      <c r="A171" s="11"/>
      <c r="B171" s="12"/>
      <c r="C171" s="12"/>
      <c r="D171" s="13"/>
      <c r="E171" s="14"/>
      <c r="F171" s="12"/>
      <c r="G171" s="15" t="str">
        <f t="shared" si="4"/>
        <v/>
      </c>
      <c r="H171" s="15" t="str">
        <f t="shared" si="5"/>
        <v/>
      </c>
      <c r="I171" s="15" t="str">
        <f>IF($A171="","",$H$1+SUM($H$4:$H171)-SUMIFS($E$4:$E171,$F$4:$F171,"open"))</f>
        <v/>
      </c>
      <c r="J171" s="12"/>
    </row>
    <row r="172" spans="1:10" ht="15" customHeight="1" x14ac:dyDescent="0.2">
      <c r="A172" s="11"/>
      <c r="B172" s="12"/>
      <c r="C172" s="12"/>
      <c r="D172" s="13"/>
      <c r="E172" s="14"/>
      <c r="F172" s="12"/>
      <c r="G172" s="15" t="str">
        <f t="shared" si="4"/>
        <v/>
      </c>
      <c r="H172" s="15" t="str">
        <f t="shared" si="5"/>
        <v/>
      </c>
      <c r="I172" s="15" t="str">
        <f>IF($A172="","",$H$1+SUM($H$4:$H172)-SUMIFS($E$4:$E172,$F$4:$F172,"open"))</f>
        <v/>
      </c>
      <c r="J172" s="12"/>
    </row>
    <row r="173" spans="1:10" ht="15" customHeight="1" x14ac:dyDescent="0.2">
      <c r="A173" s="11"/>
      <c r="B173" s="12"/>
      <c r="C173" s="12"/>
      <c r="D173" s="13"/>
      <c r="E173" s="14"/>
      <c r="F173" s="12"/>
      <c r="G173" s="15" t="str">
        <f t="shared" si="4"/>
        <v/>
      </c>
      <c r="H173" s="15" t="str">
        <f t="shared" si="5"/>
        <v/>
      </c>
      <c r="I173" s="15" t="str">
        <f>IF($A173="","",$H$1+SUM($H$4:$H173)-SUMIFS($E$4:$E173,$F$4:$F173,"open"))</f>
        <v/>
      </c>
      <c r="J173" s="12"/>
    </row>
    <row r="174" spans="1:10" ht="15" customHeight="1" x14ac:dyDescent="0.2">
      <c r="A174" s="11"/>
      <c r="B174" s="12"/>
      <c r="C174" s="12"/>
      <c r="D174" s="13"/>
      <c r="E174" s="14"/>
      <c r="F174" s="12"/>
      <c r="G174" s="15" t="str">
        <f t="shared" si="4"/>
        <v/>
      </c>
      <c r="H174" s="15" t="str">
        <f t="shared" si="5"/>
        <v/>
      </c>
      <c r="I174" s="15" t="str">
        <f>IF($A174="","",$H$1+SUM($H$4:$H174)-SUMIFS($E$4:$E174,$F$4:$F174,"open"))</f>
        <v/>
      </c>
      <c r="J174" s="12"/>
    </row>
    <row r="175" spans="1:10" ht="15" customHeight="1" x14ac:dyDescent="0.2">
      <c r="A175" s="11"/>
      <c r="B175" s="12"/>
      <c r="C175" s="12"/>
      <c r="D175" s="13"/>
      <c r="E175" s="14"/>
      <c r="F175" s="12"/>
      <c r="G175" s="15" t="str">
        <f t="shared" si="4"/>
        <v/>
      </c>
      <c r="H175" s="15" t="str">
        <f t="shared" si="5"/>
        <v/>
      </c>
      <c r="I175" s="15" t="str">
        <f>IF($A175="","",$H$1+SUM($H$4:$H175)-SUMIFS($E$4:$E175,$F$4:$F175,"open"))</f>
        <v/>
      </c>
      <c r="J175" s="12"/>
    </row>
    <row r="176" spans="1:10" ht="15" customHeight="1" x14ac:dyDescent="0.2">
      <c r="A176" s="11"/>
      <c r="B176" s="12"/>
      <c r="C176" s="12"/>
      <c r="D176" s="13"/>
      <c r="E176" s="14"/>
      <c r="F176" s="12"/>
      <c r="G176" s="15" t="str">
        <f t="shared" si="4"/>
        <v/>
      </c>
      <c r="H176" s="15" t="str">
        <f t="shared" si="5"/>
        <v/>
      </c>
      <c r="I176" s="15" t="str">
        <f>IF($A176="","",$H$1+SUM($H$4:$H176)-SUMIFS($E$4:$E176,$F$4:$F176,"open"))</f>
        <v/>
      </c>
      <c r="J176" s="12"/>
    </row>
    <row r="177" spans="1:10" ht="15" customHeight="1" x14ac:dyDescent="0.2">
      <c r="A177" s="11"/>
      <c r="B177" s="12"/>
      <c r="C177" s="12"/>
      <c r="D177" s="13"/>
      <c r="E177" s="14"/>
      <c r="F177" s="12"/>
      <c r="G177" s="15" t="str">
        <f t="shared" si="4"/>
        <v/>
      </c>
      <c r="H177" s="15" t="str">
        <f t="shared" si="5"/>
        <v/>
      </c>
      <c r="I177" s="15" t="str">
        <f>IF($A177="","",$H$1+SUM($H$4:$H177)-SUMIFS($E$4:$E177,$F$4:$F177,"open"))</f>
        <v/>
      </c>
      <c r="J177" s="12"/>
    </row>
    <row r="178" spans="1:10" ht="15" customHeight="1" x14ac:dyDescent="0.2">
      <c r="A178" s="11"/>
      <c r="B178" s="12"/>
      <c r="C178" s="12"/>
      <c r="D178" s="13"/>
      <c r="E178" s="14"/>
      <c r="F178" s="12"/>
      <c r="G178" s="15" t="str">
        <f t="shared" si="4"/>
        <v/>
      </c>
      <c r="H178" s="15" t="str">
        <f t="shared" si="5"/>
        <v/>
      </c>
      <c r="I178" s="15" t="str">
        <f>IF($A178="","",$H$1+SUM($H$4:$H178)-SUMIFS($E$4:$E178,$F$4:$F178,"open"))</f>
        <v/>
      </c>
      <c r="J178" s="12"/>
    </row>
    <row r="179" spans="1:10" ht="15" customHeight="1" x14ac:dyDescent="0.2">
      <c r="A179" s="11"/>
      <c r="B179" s="12"/>
      <c r="C179" s="12"/>
      <c r="D179" s="13"/>
      <c r="E179" s="14"/>
      <c r="F179" s="12"/>
      <c r="G179" s="15" t="str">
        <f t="shared" si="4"/>
        <v/>
      </c>
      <c r="H179" s="15" t="str">
        <f t="shared" si="5"/>
        <v/>
      </c>
      <c r="I179" s="15" t="str">
        <f>IF($A179="","",$H$1+SUM($H$4:$H179)-SUMIFS($E$4:$E179,$F$4:$F179,"open"))</f>
        <v/>
      </c>
      <c r="J179" s="12"/>
    </row>
    <row r="180" spans="1:10" ht="15" customHeight="1" x14ac:dyDescent="0.2">
      <c r="A180" s="11"/>
      <c r="B180" s="12"/>
      <c r="C180" s="12"/>
      <c r="D180" s="13"/>
      <c r="E180" s="14"/>
      <c r="F180" s="12"/>
      <c r="G180" s="15" t="str">
        <f t="shared" si="4"/>
        <v/>
      </c>
      <c r="H180" s="15" t="str">
        <f t="shared" si="5"/>
        <v/>
      </c>
      <c r="I180" s="15" t="str">
        <f>IF($A180="","",$H$1+SUM($H$4:$H180)-SUMIFS($E$4:$E180,$F$4:$F180,"open"))</f>
        <v/>
      </c>
      <c r="J180" s="12"/>
    </row>
    <row r="181" spans="1:10" ht="15" customHeight="1" x14ac:dyDescent="0.2">
      <c r="A181" s="11"/>
      <c r="B181" s="12"/>
      <c r="C181" s="12"/>
      <c r="D181" s="13"/>
      <c r="E181" s="14"/>
      <c r="F181" s="12"/>
      <c r="G181" s="15" t="str">
        <f t="shared" si="4"/>
        <v/>
      </c>
      <c r="H181" s="15" t="str">
        <f t="shared" si="5"/>
        <v/>
      </c>
      <c r="I181" s="15" t="str">
        <f>IF($A181="","",$H$1+SUM($H$4:$H181)-SUMIFS($E$4:$E181,$F$4:$F181,"open"))</f>
        <v/>
      </c>
      <c r="J181" s="12"/>
    </row>
    <row r="182" spans="1:10" ht="15" customHeight="1" x14ac:dyDescent="0.2">
      <c r="A182" s="11"/>
      <c r="B182" s="12"/>
      <c r="C182" s="12"/>
      <c r="D182" s="13"/>
      <c r="E182" s="14"/>
      <c r="F182" s="12"/>
      <c r="G182" s="15" t="str">
        <f t="shared" si="4"/>
        <v/>
      </c>
      <c r="H182" s="15" t="str">
        <f t="shared" si="5"/>
        <v/>
      </c>
      <c r="I182" s="15" t="str">
        <f>IF($A182="","",$H$1+SUM($H$4:$H182)-SUMIFS($E$4:$E182,$F$4:$F182,"open"))</f>
        <v/>
      </c>
      <c r="J182" s="12"/>
    </row>
    <row r="183" spans="1:10" ht="15" customHeight="1" x14ac:dyDescent="0.2">
      <c r="A183" s="11"/>
      <c r="B183" s="12"/>
      <c r="C183" s="12"/>
      <c r="D183" s="13"/>
      <c r="E183" s="14"/>
      <c r="F183" s="12"/>
      <c r="G183" s="15" t="str">
        <f t="shared" si="4"/>
        <v/>
      </c>
      <c r="H183" s="15" t="str">
        <f t="shared" si="5"/>
        <v/>
      </c>
      <c r="I183" s="15" t="str">
        <f>IF($A183="","",$H$1+SUM($H$4:$H183)-SUMIFS($E$4:$E183,$F$4:$F183,"open"))</f>
        <v/>
      </c>
      <c r="J183" s="12"/>
    </row>
    <row r="184" spans="1:10" ht="15" customHeight="1" x14ac:dyDescent="0.2">
      <c r="A184" s="11"/>
      <c r="B184" s="12"/>
      <c r="C184" s="12"/>
      <c r="D184" s="13"/>
      <c r="E184" s="14"/>
      <c r="F184" s="12"/>
      <c r="G184" s="15" t="str">
        <f t="shared" si="4"/>
        <v/>
      </c>
      <c r="H184" s="15" t="str">
        <f t="shared" si="5"/>
        <v/>
      </c>
      <c r="I184" s="15" t="str">
        <f>IF($A184="","",$H$1+SUM($H$4:$H184)-SUMIFS($E$4:$E184,$F$4:$F184,"open"))</f>
        <v/>
      </c>
      <c r="J184" s="12"/>
    </row>
    <row r="185" spans="1:10" ht="15" customHeight="1" x14ac:dyDescent="0.2">
      <c r="A185" s="11"/>
      <c r="B185" s="12"/>
      <c r="C185" s="12"/>
      <c r="D185" s="13"/>
      <c r="E185" s="14"/>
      <c r="F185" s="12"/>
      <c r="G185" s="15" t="str">
        <f t="shared" si="4"/>
        <v/>
      </c>
      <c r="H185" s="15" t="str">
        <f t="shared" si="5"/>
        <v/>
      </c>
      <c r="I185" s="15" t="str">
        <f>IF($A185="","",$H$1+SUM($H$4:$H185)-SUMIFS($E$4:$E185,$F$4:$F185,"open"))</f>
        <v/>
      </c>
      <c r="J185" s="12"/>
    </row>
    <row r="186" spans="1:10" ht="15" customHeight="1" x14ac:dyDescent="0.2">
      <c r="A186" s="11"/>
      <c r="B186" s="12"/>
      <c r="C186" s="12"/>
      <c r="D186" s="13"/>
      <c r="E186" s="14"/>
      <c r="F186" s="12"/>
      <c r="G186" s="15" t="str">
        <f t="shared" si="4"/>
        <v/>
      </c>
      <c r="H186" s="15" t="str">
        <f t="shared" si="5"/>
        <v/>
      </c>
      <c r="I186" s="15" t="str">
        <f>IF($A186="","",$H$1+SUM($H$4:$H186)-SUMIFS($E$4:$E186,$F$4:$F186,"open"))</f>
        <v/>
      </c>
      <c r="J186" s="12"/>
    </row>
    <row r="187" spans="1:10" ht="15" customHeight="1" x14ac:dyDescent="0.2">
      <c r="A187" s="11"/>
      <c r="B187" s="12"/>
      <c r="C187" s="12"/>
      <c r="D187" s="13"/>
      <c r="E187" s="14"/>
      <c r="F187" s="12"/>
      <c r="G187" s="15" t="str">
        <f t="shared" si="4"/>
        <v/>
      </c>
      <c r="H187" s="15" t="str">
        <f t="shared" si="5"/>
        <v/>
      </c>
      <c r="I187" s="15" t="str">
        <f>IF($A187="","",$H$1+SUM($H$4:$H187)-SUMIFS($E$4:$E187,$F$4:$F187,"open"))</f>
        <v/>
      </c>
      <c r="J187" s="12"/>
    </row>
    <row r="188" spans="1:10" ht="15" customHeight="1" x14ac:dyDescent="0.2">
      <c r="A188" s="11"/>
      <c r="B188" s="12"/>
      <c r="C188" s="12"/>
      <c r="D188" s="13"/>
      <c r="E188" s="14"/>
      <c r="F188" s="12"/>
      <c r="G188" s="15" t="str">
        <f t="shared" si="4"/>
        <v/>
      </c>
      <c r="H188" s="15" t="str">
        <f t="shared" si="5"/>
        <v/>
      </c>
      <c r="I188" s="15" t="str">
        <f>IF($A188="","",$H$1+SUM($H$4:$H188)-SUMIFS($E$4:$E188,$F$4:$F188,"open"))</f>
        <v/>
      </c>
      <c r="J188" s="12"/>
    </row>
    <row r="189" spans="1:10" ht="15" customHeight="1" x14ac:dyDescent="0.2">
      <c r="A189" s="11"/>
      <c r="B189" s="12"/>
      <c r="C189" s="12"/>
      <c r="D189" s="13"/>
      <c r="E189" s="14"/>
      <c r="F189" s="12"/>
      <c r="G189" s="15" t="str">
        <f t="shared" si="4"/>
        <v/>
      </c>
      <c r="H189" s="15" t="str">
        <f t="shared" si="5"/>
        <v/>
      </c>
      <c r="I189" s="15" t="str">
        <f>IF($A189="","",$H$1+SUM($H$4:$H189)-SUMIFS($E$4:$E189,$F$4:$F189,"open"))</f>
        <v/>
      </c>
      <c r="J189" s="12"/>
    </row>
    <row r="190" spans="1:10" ht="15" customHeight="1" x14ac:dyDescent="0.2">
      <c r="A190" s="11"/>
      <c r="B190" s="12"/>
      <c r="C190" s="12"/>
      <c r="D190" s="13"/>
      <c r="E190" s="14"/>
      <c r="F190" s="12"/>
      <c r="G190" s="15" t="str">
        <f t="shared" si="4"/>
        <v/>
      </c>
      <c r="H190" s="15" t="str">
        <f t="shared" si="5"/>
        <v/>
      </c>
      <c r="I190" s="15" t="str">
        <f>IF($A190="","",$H$1+SUM($H$4:$H190)-SUMIFS($E$4:$E190,$F$4:$F190,"open"))</f>
        <v/>
      </c>
      <c r="J190" s="12"/>
    </row>
    <row r="191" spans="1:10" ht="15" customHeight="1" x14ac:dyDescent="0.2">
      <c r="A191" s="11"/>
      <c r="B191" s="12"/>
      <c r="C191" s="12"/>
      <c r="D191" s="13"/>
      <c r="E191" s="14"/>
      <c r="F191" s="12"/>
      <c r="G191" s="15" t="str">
        <f t="shared" si="4"/>
        <v/>
      </c>
      <c r="H191" s="15" t="str">
        <f t="shared" si="5"/>
        <v/>
      </c>
      <c r="I191" s="15" t="str">
        <f>IF($A191="","",$H$1+SUM($H$4:$H191)-SUMIFS($E$4:$E191,$F$4:$F191,"open"))</f>
        <v/>
      </c>
      <c r="J191" s="12"/>
    </row>
    <row r="192" spans="1:10" ht="15" customHeight="1" x14ac:dyDescent="0.2">
      <c r="A192" s="11"/>
      <c r="B192" s="12"/>
      <c r="C192" s="12"/>
      <c r="D192" s="13"/>
      <c r="E192" s="14"/>
      <c r="F192" s="12"/>
      <c r="G192" s="15" t="str">
        <f t="shared" si="4"/>
        <v/>
      </c>
      <c r="H192" s="15" t="str">
        <f t="shared" si="5"/>
        <v/>
      </c>
      <c r="I192" s="15" t="str">
        <f>IF($A192="","",$H$1+SUM($H$4:$H192)-SUMIFS($E$4:$E192,$F$4:$F192,"open"))</f>
        <v/>
      </c>
      <c r="J192" s="12"/>
    </row>
    <row r="193" spans="1:10" ht="15" customHeight="1" x14ac:dyDescent="0.2">
      <c r="A193" s="11"/>
      <c r="B193" s="12"/>
      <c r="C193" s="12"/>
      <c r="D193" s="13"/>
      <c r="E193" s="14"/>
      <c r="F193" s="12"/>
      <c r="G193" s="15" t="str">
        <f t="shared" si="4"/>
        <v/>
      </c>
      <c r="H193" s="15" t="str">
        <f t="shared" si="5"/>
        <v/>
      </c>
      <c r="I193" s="15" t="str">
        <f>IF($A193="","",$H$1+SUM($H$4:$H193)-SUMIFS($E$4:$E193,$F$4:$F193,"open"))</f>
        <v/>
      </c>
      <c r="J193" s="12"/>
    </row>
    <row r="194" spans="1:10" ht="15" customHeight="1" x14ac:dyDescent="0.2">
      <c r="A194" s="11"/>
      <c r="B194" s="12"/>
      <c r="C194" s="12"/>
      <c r="D194" s="13"/>
      <c r="E194" s="14"/>
      <c r="F194" s="12"/>
      <c r="G194" s="15" t="str">
        <f t="shared" si="4"/>
        <v/>
      </c>
      <c r="H194" s="15" t="str">
        <f t="shared" si="5"/>
        <v/>
      </c>
      <c r="I194" s="15" t="str">
        <f>IF($A194="","",$H$1+SUM($H$4:$H194)-SUMIFS($E$4:$E194,$F$4:$F194,"open"))</f>
        <v/>
      </c>
      <c r="J194" s="12"/>
    </row>
    <row r="195" spans="1:10" ht="15" customHeight="1" x14ac:dyDescent="0.2">
      <c r="A195" s="11"/>
      <c r="B195" s="12"/>
      <c r="C195" s="12"/>
      <c r="D195" s="13"/>
      <c r="E195" s="14"/>
      <c r="F195" s="12"/>
      <c r="G195" s="15" t="str">
        <f t="shared" si="4"/>
        <v/>
      </c>
      <c r="H195" s="15" t="str">
        <f t="shared" si="5"/>
        <v/>
      </c>
      <c r="I195" s="15" t="str">
        <f>IF($A195="","",$H$1+SUM($H$4:$H195)-SUMIFS($E$4:$E195,$F$4:$F195,"open"))</f>
        <v/>
      </c>
      <c r="J195" s="12"/>
    </row>
    <row r="196" spans="1:10" ht="15" customHeight="1" x14ac:dyDescent="0.2">
      <c r="A196" s="11"/>
      <c r="B196" s="12"/>
      <c r="C196" s="12"/>
      <c r="D196" s="13"/>
      <c r="E196" s="14"/>
      <c r="F196" s="12"/>
      <c r="G196" s="15" t="str">
        <f t="shared" ref="G196:G259" si="6">IF($A196="","",IF($F196="won",$E196*$D196,IF($F196="void",$E196,0)))</f>
        <v/>
      </c>
      <c r="H196" s="15" t="str">
        <f t="shared" ref="H196:H259" si="7">IF($A196="","",IF(OR($F196="open",$F196=""),0,$G196-$E196))</f>
        <v/>
      </c>
      <c r="I196" s="15" t="str">
        <f>IF($A196="","",$H$1+SUM($H$4:$H196)-SUMIFS($E$4:$E196,$F$4:$F196,"open"))</f>
        <v/>
      </c>
      <c r="J196" s="12"/>
    </row>
    <row r="197" spans="1:10" ht="15" customHeight="1" x14ac:dyDescent="0.2">
      <c r="A197" s="11"/>
      <c r="B197" s="12"/>
      <c r="C197" s="12"/>
      <c r="D197" s="13"/>
      <c r="E197" s="14"/>
      <c r="F197" s="12"/>
      <c r="G197" s="15" t="str">
        <f t="shared" si="6"/>
        <v/>
      </c>
      <c r="H197" s="15" t="str">
        <f t="shared" si="7"/>
        <v/>
      </c>
      <c r="I197" s="15" t="str">
        <f>IF($A197="","",$H$1+SUM($H$4:$H197)-SUMIFS($E$4:$E197,$F$4:$F197,"open"))</f>
        <v/>
      </c>
      <c r="J197" s="12"/>
    </row>
    <row r="198" spans="1:10" ht="15" customHeight="1" x14ac:dyDescent="0.2">
      <c r="A198" s="11"/>
      <c r="B198" s="12"/>
      <c r="C198" s="12"/>
      <c r="D198" s="13"/>
      <c r="E198" s="14"/>
      <c r="F198" s="12"/>
      <c r="G198" s="15" t="str">
        <f t="shared" si="6"/>
        <v/>
      </c>
      <c r="H198" s="15" t="str">
        <f t="shared" si="7"/>
        <v/>
      </c>
      <c r="I198" s="15" t="str">
        <f>IF($A198="","",$H$1+SUM($H$4:$H198)-SUMIFS($E$4:$E198,$F$4:$F198,"open"))</f>
        <v/>
      </c>
      <c r="J198" s="12"/>
    </row>
    <row r="199" spans="1:10" ht="15" customHeight="1" x14ac:dyDescent="0.2">
      <c r="A199" s="11"/>
      <c r="B199" s="12"/>
      <c r="C199" s="12"/>
      <c r="D199" s="13"/>
      <c r="E199" s="14"/>
      <c r="F199" s="12"/>
      <c r="G199" s="15" t="str">
        <f t="shared" si="6"/>
        <v/>
      </c>
      <c r="H199" s="15" t="str">
        <f t="shared" si="7"/>
        <v/>
      </c>
      <c r="I199" s="15" t="str">
        <f>IF($A199="","",$H$1+SUM($H$4:$H199)-SUMIFS($E$4:$E199,$F$4:$F199,"open"))</f>
        <v/>
      </c>
      <c r="J199" s="12"/>
    </row>
    <row r="200" spans="1:10" ht="15" customHeight="1" x14ac:dyDescent="0.2">
      <c r="A200" s="11"/>
      <c r="B200" s="12"/>
      <c r="C200" s="12"/>
      <c r="D200" s="13"/>
      <c r="E200" s="14"/>
      <c r="F200" s="12"/>
      <c r="G200" s="15" t="str">
        <f t="shared" si="6"/>
        <v/>
      </c>
      <c r="H200" s="15" t="str">
        <f t="shared" si="7"/>
        <v/>
      </c>
      <c r="I200" s="15" t="str">
        <f>IF($A200="","",$H$1+SUM($H$4:$H200)-SUMIFS($E$4:$E200,$F$4:$F200,"open"))</f>
        <v/>
      </c>
      <c r="J200" s="12"/>
    </row>
    <row r="201" spans="1:10" ht="15" customHeight="1" x14ac:dyDescent="0.2">
      <c r="A201" s="11"/>
      <c r="B201" s="12"/>
      <c r="C201" s="12"/>
      <c r="D201" s="13"/>
      <c r="E201" s="14"/>
      <c r="F201" s="12"/>
      <c r="G201" s="15" t="str">
        <f t="shared" si="6"/>
        <v/>
      </c>
      <c r="H201" s="15" t="str">
        <f t="shared" si="7"/>
        <v/>
      </c>
      <c r="I201" s="15" t="str">
        <f>IF($A201="","",$H$1+SUM($H$4:$H201)-SUMIFS($E$4:$E201,$F$4:$F201,"open"))</f>
        <v/>
      </c>
      <c r="J201" s="12"/>
    </row>
    <row r="202" spans="1:10" ht="15" customHeight="1" x14ac:dyDescent="0.2">
      <c r="A202" s="11"/>
      <c r="B202" s="12"/>
      <c r="C202" s="12"/>
      <c r="D202" s="13"/>
      <c r="E202" s="14"/>
      <c r="F202" s="12"/>
      <c r="G202" s="15" t="str">
        <f t="shared" si="6"/>
        <v/>
      </c>
      <c r="H202" s="15" t="str">
        <f t="shared" si="7"/>
        <v/>
      </c>
      <c r="I202" s="15" t="str">
        <f>IF($A202="","",$H$1+SUM($H$4:$H202)-SUMIFS($E$4:$E202,$F$4:$F202,"open"))</f>
        <v/>
      </c>
      <c r="J202" s="12"/>
    </row>
    <row r="203" spans="1:10" ht="15" customHeight="1" x14ac:dyDescent="0.2">
      <c r="A203" s="11"/>
      <c r="B203" s="12"/>
      <c r="C203" s="12"/>
      <c r="D203" s="13"/>
      <c r="E203" s="14"/>
      <c r="F203" s="12"/>
      <c r="G203" s="15" t="str">
        <f t="shared" si="6"/>
        <v/>
      </c>
      <c r="H203" s="15" t="str">
        <f t="shared" si="7"/>
        <v/>
      </c>
      <c r="I203" s="15" t="str">
        <f>IF($A203="","",$H$1+SUM($H$4:$H203)-SUMIFS($E$4:$E203,$F$4:$F203,"open"))</f>
        <v/>
      </c>
      <c r="J203" s="12"/>
    </row>
    <row r="204" spans="1:10" ht="15" customHeight="1" x14ac:dyDescent="0.2">
      <c r="A204" s="11"/>
      <c r="B204" s="12"/>
      <c r="C204" s="12"/>
      <c r="D204" s="13"/>
      <c r="E204" s="14"/>
      <c r="F204" s="12"/>
      <c r="G204" s="15" t="str">
        <f t="shared" si="6"/>
        <v/>
      </c>
      <c r="H204" s="15" t="str">
        <f t="shared" si="7"/>
        <v/>
      </c>
      <c r="I204" s="15" t="str">
        <f>IF($A204="","",$H$1+SUM($H$4:$H204)-SUMIFS($E$4:$E204,$F$4:$F204,"open"))</f>
        <v/>
      </c>
      <c r="J204" s="12"/>
    </row>
    <row r="205" spans="1:10" ht="15" customHeight="1" x14ac:dyDescent="0.2">
      <c r="A205" s="11"/>
      <c r="B205" s="12"/>
      <c r="C205" s="12"/>
      <c r="D205" s="13"/>
      <c r="E205" s="14"/>
      <c r="F205" s="12"/>
      <c r="G205" s="15" t="str">
        <f t="shared" si="6"/>
        <v/>
      </c>
      <c r="H205" s="15" t="str">
        <f t="shared" si="7"/>
        <v/>
      </c>
      <c r="I205" s="15" t="str">
        <f>IF($A205="","",$H$1+SUM($H$4:$H205)-SUMIFS($E$4:$E205,$F$4:$F205,"open"))</f>
        <v/>
      </c>
      <c r="J205" s="12"/>
    </row>
    <row r="206" spans="1:10" ht="15" customHeight="1" x14ac:dyDescent="0.2">
      <c r="A206" s="11"/>
      <c r="B206" s="12"/>
      <c r="C206" s="12"/>
      <c r="D206" s="13"/>
      <c r="E206" s="14"/>
      <c r="F206" s="12"/>
      <c r="G206" s="15" t="str">
        <f t="shared" si="6"/>
        <v/>
      </c>
      <c r="H206" s="15" t="str">
        <f t="shared" si="7"/>
        <v/>
      </c>
      <c r="I206" s="15" t="str">
        <f>IF($A206="","",$H$1+SUM($H$4:$H206)-SUMIFS($E$4:$E206,$F$4:$F206,"open"))</f>
        <v/>
      </c>
      <c r="J206" s="12"/>
    </row>
    <row r="207" spans="1:10" ht="15" customHeight="1" x14ac:dyDescent="0.2">
      <c r="A207" s="11"/>
      <c r="B207" s="12"/>
      <c r="C207" s="12"/>
      <c r="D207" s="13"/>
      <c r="E207" s="14"/>
      <c r="F207" s="12"/>
      <c r="G207" s="15" t="str">
        <f t="shared" si="6"/>
        <v/>
      </c>
      <c r="H207" s="15" t="str">
        <f t="shared" si="7"/>
        <v/>
      </c>
      <c r="I207" s="15" t="str">
        <f>IF($A207="","",$H$1+SUM($H$4:$H207)-SUMIFS($E$4:$E207,$F$4:$F207,"open"))</f>
        <v/>
      </c>
      <c r="J207" s="12"/>
    </row>
    <row r="208" spans="1:10" ht="15" customHeight="1" x14ac:dyDescent="0.2">
      <c r="A208" s="11"/>
      <c r="B208" s="12"/>
      <c r="C208" s="12"/>
      <c r="D208" s="13"/>
      <c r="E208" s="14"/>
      <c r="F208" s="12"/>
      <c r="G208" s="15" t="str">
        <f t="shared" si="6"/>
        <v/>
      </c>
      <c r="H208" s="15" t="str">
        <f t="shared" si="7"/>
        <v/>
      </c>
      <c r="I208" s="15" t="str">
        <f>IF($A208="","",$H$1+SUM($H$4:$H208)-SUMIFS($E$4:$E208,$F$4:$F208,"open"))</f>
        <v/>
      </c>
      <c r="J208" s="12"/>
    </row>
    <row r="209" spans="1:10" ht="15" customHeight="1" x14ac:dyDescent="0.2">
      <c r="A209" s="11"/>
      <c r="B209" s="12"/>
      <c r="C209" s="12"/>
      <c r="D209" s="13"/>
      <c r="E209" s="14"/>
      <c r="F209" s="12"/>
      <c r="G209" s="15" t="str">
        <f t="shared" si="6"/>
        <v/>
      </c>
      <c r="H209" s="15" t="str">
        <f t="shared" si="7"/>
        <v/>
      </c>
      <c r="I209" s="15" t="str">
        <f>IF($A209="","",$H$1+SUM($H$4:$H209)-SUMIFS($E$4:$E209,$F$4:$F209,"open"))</f>
        <v/>
      </c>
      <c r="J209" s="12"/>
    </row>
    <row r="210" spans="1:10" ht="15" customHeight="1" x14ac:dyDescent="0.2">
      <c r="A210" s="11"/>
      <c r="B210" s="12"/>
      <c r="C210" s="12"/>
      <c r="D210" s="13"/>
      <c r="E210" s="14"/>
      <c r="F210" s="12"/>
      <c r="G210" s="15" t="str">
        <f t="shared" si="6"/>
        <v/>
      </c>
      <c r="H210" s="15" t="str">
        <f t="shared" si="7"/>
        <v/>
      </c>
      <c r="I210" s="15" t="str">
        <f>IF($A210="","",$H$1+SUM($H$4:$H210)-SUMIFS($E$4:$E210,$F$4:$F210,"open"))</f>
        <v/>
      </c>
      <c r="J210" s="12"/>
    </row>
    <row r="211" spans="1:10" ht="15" customHeight="1" x14ac:dyDescent="0.2">
      <c r="A211" s="11"/>
      <c r="B211" s="12"/>
      <c r="C211" s="12"/>
      <c r="D211" s="13"/>
      <c r="E211" s="14"/>
      <c r="F211" s="12"/>
      <c r="G211" s="15" t="str">
        <f t="shared" si="6"/>
        <v/>
      </c>
      <c r="H211" s="15" t="str">
        <f t="shared" si="7"/>
        <v/>
      </c>
      <c r="I211" s="15" t="str">
        <f>IF($A211="","",$H$1+SUM($H$4:$H211)-SUMIFS($E$4:$E211,$F$4:$F211,"open"))</f>
        <v/>
      </c>
      <c r="J211" s="12"/>
    </row>
    <row r="212" spans="1:10" ht="15" customHeight="1" x14ac:dyDescent="0.2">
      <c r="A212" s="11"/>
      <c r="B212" s="12"/>
      <c r="C212" s="12"/>
      <c r="D212" s="13"/>
      <c r="E212" s="14"/>
      <c r="F212" s="12"/>
      <c r="G212" s="15" t="str">
        <f t="shared" si="6"/>
        <v/>
      </c>
      <c r="H212" s="15" t="str">
        <f t="shared" si="7"/>
        <v/>
      </c>
      <c r="I212" s="15" t="str">
        <f>IF($A212="","",$H$1+SUM($H$4:$H212)-SUMIFS($E$4:$E212,$F$4:$F212,"open"))</f>
        <v/>
      </c>
      <c r="J212" s="12"/>
    </row>
    <row r="213" spans="1:10" ht="15" customHeight="1" x14ac:dyDescent="0.2">
      <c r="A213" s="11"/>
      <c r="B213" s="12"/>
      <c r="C213" s="12"/>
      <c r="D213" s="13"/>
      <c r="E213" s="14"/>
      <c r="F213" s="12"/>
      <c r="G213" s="15" t="str">
        <f t="shared" si="6"/>
        <v/>
      </c>
      <c r="H213" s="15" t="str">
        <f t="shared" si="7"/>
        <v/>
      </c>
      <c r="I213" s="15" t="str">
        <f>IF($A213="","",$H$1+SUM($H$4:$H213)-SUMIFS($E$4:$E213,$F$4:$F213,"open"))</f>
        <v/>
      </c>
      <c r="J213" s="12"/>
    </row>
    <row r="214" spans="1:10" ht="15" customHeight="1" x14ac:dyDescent="0.2">
      <c r="A214" s="11"/>
      <c r="B214" s="12"/>
      <c r="C214" s="12"/>
      <c r="D214" s="13"/>
      <c r="E214" s="14"/>
      <c r="F214" s="12"/>
      <c r="G214" s="15" t="str">
        <f t="shared" si="6"/>
        <v/>
      </c>
      <c r="H214" s="15" t="str">
        <f t="shared" si="7"/>
        <v/>
      </c>
      <c r="I214" s="15" t="str">
        <f>IF($A214="","",$H$1+SUM($H$4:$H214)-SUMIFS($E$4:$E214,$F$4:$F214,"open"))</f>
        <v/>
      </c>
      <c r="J214" s="12"/>
    </row>
    <row r="215" spans="1:10" ht="15" customHeight="1" x14ac:dyDescent="0.2">
      <c r="A215" s="11"/>
      <c r="B215" s="12"/>
      <c r="C215" s="12"/>
      <c r="D215" s="13"/>
      <c r="E215" s="14"/>
      <c r="F215" s="12"/>
      <c r="G215" s="15" t="str">
        <f t="shared" si="6"/>
        <v/>
      </c>
      <c r="H215" s="15" t="str">
        <f t="shared" si="7"/>
        <v/>
      </c>
      <c r="I215" s="15" t="str">
        <f>IF($A215="","",$H$1+SUM($H$4:$H215)-SUMIFS($E$4:$E215,$F$4:$F215,"open"))</f>
        <v/>
      </c>
      <c r="J215" s="12"/>
    </row>
    <row r="216" spans="1:10" ht="15" customHeight="1" x14ac:dyDescent="0.2">
      <c r="A216" s="11"/>
      <c r="B216" s="12"/>
      <c r="C216" s="12"/>
      <c r="D216" s="13"/>
      <c r="E216" s="14"/>
      <c r="F216" s="12"/>
      <c r="G216" s="15" t="str">
        <f t="shared" si="6"/>
        <v/>
      </c>
      <c r="H216" s="15" t="str">
        <f t="shared" si="7"/>
        <v/>
      </c>
      <c r="I216" s="15" t="str">
        <f>IF($A216="","",$H$1+SUM($H$4:$H216)-SUMIFS($E$4:$E216,$F$4:$F216,"open"))</f>
        <v/>
      </c>
      <c r="J216" s="12"/>
    </row>
    <row r="217" spans="1:10" ht="15" customHeight="1" x14ac:dyDescent="0.2">
      <c r="A217" s="11"/>
      <c r="B217" s="12"/>
      <c r="C217" s="12"/>
      <c r="D217" s="13"/>
      <c r="E217" s="14"/>
      <c r="F217" s="12"/>
      <c r="G217" s="15" t="str">
        <f t="shared" si="6"/>
        <v/>
      </c>
      <c r="H217" s="15" t="str">
        <f t="shared" si="7"/>
        <v/>
      </c>
      <c r="I217" s="15" t="str">
        <f>IF($A217="","",$H$1+SUM($H$4:$H217)-SUMIFS($E$4:$E217,$F$4:$F217,"open"))</f>
        <v/>
      </c>
      <c r="J217" s="12"/>
    </row>
    <row r="218" spans="1:10" ht="15" customHeight="1" x14ac:dyDescent="0.2">
      <c r="A218" s="11"/>
      <c r="B218" s="12"/>
      <c r="C218" s="12"/>
      <c r="D218" s="13"/>
      <c r="E218" s="14"/>
      <c r="F218" s="12"/>
      <c r="G218" s="15" t="str">
        <f t="shared" si="6"/>
        <v/>
      </c>
      <c r="H218" s="15" t="str">
        <f t="shared" si="7"/>
        <v/>
      </c>
      <c r="I218" s="15" t="str">
        <f>IF($A218="","",$H$1+SUM($H$4:$H218)-SUMIFS($E$4:$E218,$F$4:$F218,"open"))</f>
        <v/>
      </c>
      <c r="J218" s="12"/>
    </row>
    <row r="219" spans="1:10" ht="15" customHeight="1" x14ac:dyDescent="0.2">
      <c r="A219" s="11"/>
      <c r="B219" s="12"/>
      <c r="C219" s="12"/>
      <c r="D219" s="13"/>
      <c r="E219" s="14"/>
      <c r="F219" s="12"/>
      <c r="G219" s="15" t="str">
        <f t="shared" si="6"/>
        <v/>
      </c>
      <c r="H219" s="15" t="str">
        <f t="shared" si="7"/>
        <v/>
      </c>
      <c r="I219" s="15" t="str">
        <f>IF($A219="","",$H$1+SUM($H$4:$H219)-SUMIFS($E$4:$E219,$F$4:$F219,"open"))</f>
        <v/>
      </c>
      <c r="J219" s="12"/>
    </row>
    <row r="220" spans="1:10" ht="15" customHeight="1" x14ac:dyDescent="0.2">
      <c r="A220" s="11"/>
      <c r="B220" s="12"/>
      <c r="C220" s="12"/>
      <c r="D220" s="13"/>
      <c r="E220" s="14"/>
      <c r="F220" s="12"/>
      <c r="G220" s="15" t="str">
        <f t="shared" si="6"/>
        <v/>
      </c>
      <c r="H220" s="15" t="str">
        <f t="shared" si="7"/>
        <v/>
      </c>
      <c r="I220" s="15" t="str">
        <f>IF($A220="","",$H$1+SUM($H$4:$H220)-SUMIFS($E$4:$E220,$F$4:$F220,"open"))</f>
        <v/>
      </c>
      <c r="J220" s="12"/>
    </row>
    <row r="221" spans="1:10" ht="15" customHeight="1" x14ac:dyDescent="0.2">
      <c r="A221" s="11"/>
      <c r="B221" s="12"/>
      <c r="C221" s="12"/>
      <c r="D221" s="13"/>
      <c r="E221" s="14"/>
      <c r="F221" s="12"/>
      <c r="G221" s="15" t="str">
        <f t="shared" si="6"/>
        <v/>
      </c>
      <c r="H221" s="15" t="str">
        <f t="shared" si="7"/>
        <v/>
      </c>
      <c r="I221" s="15" t="str">
        <f>IF($A221="","",$H$1+SUM($H$4:$H221)-SUMIFS($E$4:$E221,$F$4:$F221,"open"))</f>
        <v/>
      </c>
      <c r="J221" s="12"/>
    </row>
    <row r="222" spans="1:10" ht="15" customHeight="1" x14ac:dyDescent="0.2">
      <c r="A222" s="11"/>
      <c r="B222" s="12"/>
      <c r="C222" s="12"/>
      <c r="D222" s="13"/>
      <c r="E222" s="14"/>
      <c r="F222" s="12"/>
      <c r="G222" s="15" t="str">
        <f t="shared" si="6"/>
        <v/>
      </c>
      <c r="H222" s="15" t="str">
        <f t="shared" si="7"/>
        <v/>
      </c>
      <c r="I222" s="15" t="str">
        <f>IF($A222="","",$H$1+SUM($H$4:$H222)-SUMIFS($E$4:$E222,$F$4:$F222,"open"))</f>
        <v/>
      </c>
      <c r="J222" s="12"/>
    </row>
    <row r="223" spans="1:10" ht="15" customHeight="1" x14ac:dyDescent="0.2">
      <c r="A223" s="11"/>
      <c r="B223" s="12"/>
      <c r="C223" s="12"/>
      <c r="D223" s="13"/>
      <c r="E223" s="14"/>
      <c r="F223" s="12"/>
      <c r="G223" s="15" t="str">
        <f t="shared" si="6"/>
        <v/>
      </c>
      <c r="H223" s="15" t="str">
        <f t="shared" si="7"/>
        <v/>
      </c>
      <c r="I223" s="15" t="str">
        <f>IF($A223="","",$H$1+SUM($H$4:$H223)-SUMIFS($E$4:$E223,$F$4:$F223,"open"))</f>
        <v/>
      </c>
      <c r="J223" s="12"/>
    </row>
    <row r="224" spans="1:10" ht="15" customHeight="1" x14ac:dyDescent="0.2">
      <c r="A224" s="11"/>
      <c r="B224" s="12"/>
      <c r="C224" s="12"/>
      <c r="D224" s="13"/>
      <c r="E224" s="14"/>
      <c r="F224" s="12"/>
      <c r="G224" s="15" t="str">
        <f t="shared" si="6"/>
        <v/>
      </c>
      <c r="H224" s="15" t="str">
        <f t="shared" si="7"/>
        <v/>
      </c>
      <c r="I224" s="15" t="str">
        <f>IF($A224="","",$H$1+SUM($H$4:$H224)-SUMIFS($E$4:$E224,$F$4:$F224,"open"))</f>
        <v/>
      </c>
      <c r="J224" s="12"/>
    </row>
    <row r="225" spans="1:10" ht="15" customHeight="1" x14ac:dyDescent="0.2">
      <c r="A225" s="11"/>
      <c r="B225" s="12"/>
      <c r="C225" s="12"/>
      <c r="D225" s="13"/>
      <c r="E225" s="14"/>
      <c r="F225" s="12"/>
      <c r="G225" s="15" t="str">
        <f t="shared" si="6"/>
        <v/>
      </c>
      <c r="H225" s="15" t="str">
        <f t="shared" si="7"/>
        <v/>
      </c>
      <c r="I225" s="15" t="str">
        <f>IF($A225="","",$H$1+SUM($H$4:$H225)-SUMIFS($E$4:$E225,$F$4:$F225,"open"))</f>
        <v/>
      </c>
      <c r="J225" s="12"/>
    </row>
    <row r="226" spans="1:10" ht="15" customHeight="1" x14ac:dyDescent="0.2">
      <c r="A226" s="11"/>
      <c r="B226" s="12"/>
      <c r="C226" s="12"/>
      <c r="D226" s="13"/>
      <c r="E226" s="14"/>
      <c r="F226" s="12"/>
      <c r="G226" s="15" t="str">
        <f t="shared" si="6"/>
        <v/>
      </c>
      <c r="H226" s="15" t="str">
        <f t="shared" si="7"/>
        <v/>
      </c>
      <c r="I226" s="15" t="str">
        <f>IF($A226="","",$H$1+SUM($H$4:$H226)-SUMIFS($E$4:$E226,$F$4:$F226,"open"))</f>
        <v/>
      </c>
      <c r="J226" s="12"/>
    </row>
    <row r="227" spans="1:10" ht="15" customHeight="1" x14ac:dyDescent="0.2">
      <c r="A227" s="11"/>
      <c r="B227" s="12"/>
      <c r="C227" s="12"/>
      <c r="D227" s="13"/>
      <c r="E227" s="14"/>
      <c r="F227" s="12"/>
      <c r="G227" s="15" t="str">
        <f t="shared" si="6"/>
        <v/>
      </c>
      <c r="H227" s="15" t="str">
        <f t="shared" si="7"/>
        <v/>
      </c>
      <c r="I227" s="15" t="str">
        <f>IF($A227="","",$H$1+SUM($H$4:$H227)-SUMIFS($E$4:$E227,$F$4:$F227,"open"))</f>
        <v/>
      </c>
      <c r="J227" s="12"/>
    </row>
    <row r="228" spans="1:10" ht="15" customHeight="1" x14ac:dyDescent="0.2">
      <c r="A228" s="11"/>
      <c r="B228" s="12"/>
      <c r="C228" s="12"/>
      <c r="D228" s="13"/>
      <c r="E228" s="14"/>
      <c r="F228" s="12"/>
      <c r="G228" s="15" t="str">
        <f t="shared" si="6"/>
        <v/>
      </c>
      <c r="H228" s="15" t="str">
        <f t="shared" si="7"/>
        <v/>
      </c>
      <c r="I228" s="15" t="str">
        <f>IF($A228="","",$H$1+SUM($H$4:$H228)-SUMIFS($E$4:$E228,$F$4:$F228,"open"))</f>
        <v/>
      </c>
      <c r="J228" s="12"/>
    </row>
    <row r="229" spans="1:10" ht="15" customHeight="1" x14ac:dyDescent="0.2">
      <c r="A229" s="11"/>
      <c r="B229" s="12"/>
      <c r="C229" s="12"/>
      <c r="D229" s="13"/>
      <c r="E229" s="14"/>
      <c r="F229" s="12"/>
      <c r="G229" s="15" t="str">
        <f t="shared" si="6"/>
        <v/>
      </c>
      <c r="H229" s="15" t="str">
        <f t="shared" si="7"/>
        <v/>
      </c>
      <c r="I229" s="15" t="str">
        <f>IF($A229="","",$H$1+SUM($H$4:$H229)-SUMIFS($E$4:$E229,$F$4:$F229,"open"))</f>
        <v/>
      </c>
      <c r="J229" s="12"/>
    </row>
    <row r="230" spans="1:10" ht="15" customHeight="1" x14ac:dyDescent="0.2">
      <c r="A230" s="11"/>
      <c r="B230" s="12"/>
      <c r="C230" s="12"/>
      <c r="D230" s="13"/>
      <c r="E230" s="14"/>
      <c r="F230" s="12"/>
      <c r="G230" s="15" t="str">
        <f t="shared" si="6"/>
        <v/>
      </c>
      <c r="H230" s="15" t="str">
        <f t="shared" si="7"/>
        <v/>
      </c>
      <c r="I230" s="15" t="str">
        <f>IF($A230="","",$H$1+SUM($H$4:$H230)-SUMIFS($E$4:$E230,$F$4:$F230,"open"))</f>
        <v/>
      </c>
      <c r="J230" s="12"/>
    </row>
    <row r="231" spans="1:10" ht="15" customHeight="1" x14ac:dyDescent="0.2">
      <c r="A231" s="11"/>
      <c r="B231" s="12"/>
      <c r="C231" s="12"/>
      <c r="D231" s="13"/>
      <c r="E231" s="14"/>
      <c r="F231" s="12"/>
      <c r="G231" s="15" t="str">
        <f t="shared" si="6"/>
        <v/>
      </c>
      <c r="H231" s="15" t="str">
        <f t="shared" si="7"/>
        <v/>
      </c>
      <c r="I231" s="15" t="str">
        <f>IF($A231="","",$H$1+SUM($H$4:$H231)-SUMIFS($E$4:$E231,$F$4:$F231,"open"))</f>
        <v/>
      </c>
      <c r="J231" s="12"/>
    </row>
    <row r="232" spans="1:10" ht="15" customHeight="1" x14ac:dyDescent="0.2">
      <c r="A232" s="11"/>
      <c r="B232" s="12"/>
      <c r="C232" s="12"/>
      <c r="D232" s="13"/>
      <c r="E232" s="14"/>
      <c r="F232" s="12"/>
      <c r="G232" s="15" t="str">
        <f t="shared" si="6"/>
        <v/>
      </c>
      <c r="H232" s="15" t="str">
        <f t="shared" si="7"/>
        <v/>
      </c>
      <c r="I232" s="15" t="str">
        <f>IF($A232="","",$H$1+SUM($H$4:$H232)-SUMIFS($E$4:$E232,$F$4:$F232,"open"))</f>
        <v/>
      </c>
      <c r="J232" s="12"/>
    </row>
    <row r="233" spans="1:10" ht="15" customHeight="1" x14ac:dyDescent="0.2">
      <c r="A233" s="11"/>
      <c r="B233" s="12"/>
      <c r="C233" s="12"/>
      <c r="D233" s="13"/>
      <c r="E233" s="14"/>
      <c r="F233" s="12"/>
      <c r="G233" s="15" t="str">
        <f t="shared" si="6"/>
        <v/>
      </c>
      <c r="H233" s="15" t="str">
        <f t="shared" si="7"/>
        <v/>
      </c>
      <c r="I233" s="15" t="str">
        <f>IF($A233="","",$H$1+SUM($H$4:$H233)-SUMIFS($E$4:$E233,$F$4:$F233,"open"))</f>
        <v/>
      </c>
      <c r="J233" s="12"/>
    </row>
    <row r="234" spans="1:10" ht="15" customHeight="1" x14ac:dyDescent="0.2">
      <c r="A234" s="11"/>
      <c r="B234" s="12"/>
      <c r="C234" s="12"/>
      <c r="D234" s="13"/>
      <c r="E234" s="14"/>
      <c r="F234" s="12"/>
      <c r="G234" s="15" t="str">
        <f t="shared" si="6"/>
        <v/>
      </c>
      <c r="H234" s="15" t="str">
        <f t="shared" si="7"/>
        <v/>
      </c>
      <c r="I234" s="15" t="str">
        <f>IF($A234="","",$H$1+SUM($H$4:$H234)-SUMIFS($E$4:$E234,$F$4:$F234,"open"))</f>
        <v/>
      </c>
      <c r="J234" s="12"/>
    </row>
    <row r="235" spans="1:10" ht="15" customHeight="1" x14ac:dyDescent="0.2">
      <c r="A235" s="11"/>
      <c r="B235" s="12"/>
      <c r="C235" s="12"/>
      <c r="D235" s="13"/>
      <c r="E235" s="14"/>
      <c r="F235" s="12"/>
      <c r="G235" s="15" t="str">
        <f t="shared" si="6"/>
        <v/>
      </c>
      <c r="H235" s="15" t="str">
        <f t="shared" si="7"/>
        <v/>
      </c>
      <c r="I235" s="15" t="str">
        <f>IF($A235="","",$H$1+SUM($H$4:$H235)-SUMIFS($E$4:$E235,$F$4:$F235,"open"))</f>
        <v/>
      </c>
      <c r="J235" s="12"/>
    </row>
    <row r="236" spans="1:10" ht="15" customHeight="1" x14ac:dyDescent="0.2">
      <c r="A236" s="11"/>
      <c r="B236" s="12"/>
      <c r="C236" s="12"/>
      <c r="D236" s="13"/>
      <c r="E236" s="14"/>
      <c r="F236" s="12"/>
      <c r="G236" s="15" t="str">
        <f t="shared" si="6"/>
        <v/>
      </c>
      <c r="H236" s="15" t="str">
        <f t="shared" si="7"/>
        <v/>
      </c>
      <c r="I236" s="15" t="str">
        <f>IF($A236="","",$H$1+SUM($H$4:$H236)-SUMIFS($E$4:$E236,$F$4:$F236,"open"))</f>
        <v/>
      </c>
      <c r="J236" s="12"/>
    </row>
    <row r="237" spans="1:10" ht="15" customHeight="1" x14ac:dyDescent="0.2">
      <c r="A237" s="11"/>
      <c r="B237" s="12"/>
      <c r="C237" s="12"/>
      <c r="D237" s="13"/>
      <c r="E237" s="14"/>
      <c r="F237" s="12"/>
      <c r="G237" s="15" t="str">
        <f t="shared" si="6"/>
        <v/>
      </c>
      <c r="H237" s="15" t="str">
        <f t="shared" si="7"/>
        <v/>
      </c>
      <c r="I237" s="15" t="str">
        <f>IF($A237="","",$H$1+SUM($H$4:$H237)-SUMIFS($E$4:$E237,$F$4:$F237,"open"))</f>
        <v/>
      </c>
      <c r="J237" s="12"/>
    </row>
    <row r="238" spans="1:10" ht="15" customHeight="1" x14ac:dyDescent="0.2">
      <c r="A238" s="11"/>
      <c r="B238" s="12"/>
      <c r="C238" s="12"/>
      <c r="D238" s="13"/>
      <c r="E238" s="14"/>
      <c r="F238" s="12"/>
      <c r="G238" s="15" t="str">
        <f t="shared" si="6"/>
        <v/>
      </c>
      <c r="H238" s="15" t="str">
        <f t="shared" si="7"/>
        <v/>
      </c>
      <c r="I238" s="15" t="str">
        <f>IF($A238="","",$H$1+SUM($H$4:$H238)-SUMIFS($E$4:$E238,$F$4:$F238,"open"))</f>
        <v/>
      </c>
      <c r="J238" s="12"/>
    </row>
    <row r="239" spans="1:10" ht="15" customHeight="1" x14ac:dyDescent="0.2">
      <c r="A239" s="11"/>
      <c r="B239" s="12"/>
      <c r="C239" s="12"/>
      <c r="D239" s="13"/>
      <c r="E239" s="14"/>
      <c r="F239" s="12"/>
      <c r="G239" s="15" t="str">
        <f t="shared" si="6"/>
        <v/>
      </c>
      <c r="H239" s="15" t="str">
        <f t="shared" si="7"/>
        <v/>
      </c>
      <c r="I239" s="15" t="str">
        <f>IF($A239="","",$H$1+SUM($H$4:$H239)-SUMIFS($E$4:$E239,$F$4:$F239,"open"))</f>
        <v/>
      </c>
      <c r="J239" s="12"/>
    </row>
    <row r="240" spans="1:10" ht="15" customHeight="1" x14ac:dyDescent="0.2">
      <c r="A240" s="11"/>
      <c r="B240" s="12"/>
      <c r="C240" s="12"/>
      <c r="D240" s="13"/>
      <c r="E240" s="14"/>
      <c r="F240" s="12"/>
      <c r="G240" s="15" t="str">
        <f t="shared" si="6"/>
        <v/>
      </c>
      <c r="H240" s="15" t="str">
        <f t="shared" si="7"/>
        <v/>
      </c>
      <c r="I240" s="15" t="str">
        <f>IF($A240="","",$H$1+SUM($H$4:$H240)-SUMIFS($E$4:$E240,$F$4:$F240,"open"))</f>
        <v/>
      </c>
      <c r="J240" s="12"/>
    </row>
    <row r="241" spans="1:10" ht="15" customHeight="1" x14ac:dyDescent="0.2">
      <c r="A241" s="11"/>
      <c r="B241" s="12"/>
      <c r="C241" s="12"/>
      <c r="D241" s="13"/>
      <c r="E241" s="14"/>
      <c r="F241" s="12"/>
      <c r="G241" s="15" t="str">
        <f t="shared" si="6"/>
        <v/>
      </c>
      <c r="H241" s="15" t="str">
        <f t="shared" si="7"/>
        <v/>
      </c>
      <c r="I241" s="15" t="str">
        <f>IF($A241="","",$H$1+SUM($H$4:$H241)-SUMIFS($E$4:$E241,$F$4:$F241,"open"))</f>
        <v/>
      </c>
      <c r="J241" s="12"/>
    </row>
    <row r="242" spans="1:10" ht="15" customHeight="1" x14ac:dyDescent="0.2">
      <c r="A242" s="11"/>
      <c r="B242" s="12"/>
      <c r="C242" s="12"/>
      <c r="D242" s="13"/>
      <c r="E242" s="14"/>
      <c r="F242" s="12"/>
      <c r="G242" s="15" t="str">
        <f t="shared" si="6"/>
        <v/>
      </c>
      <c r="H242" s="15" t="str">
        <f t="shared" si="7"/>
        <v/>
      </c>
      <c r="I242" s="15" t="str">
        <f>IF($A242="","",$H$1+SUM($H$4:$H242)-SUMIFS($E$4:$E242,$F$4:$F242,"open"))</f>
        <v/>
      </c>
      <c r="J242" s="12"/>
    </row>
    <row r="243" spans="1:10" ht="15" customHeight="1" x14ac:dyDescent="0.2">
      <c r="A243" s="11"/>
      <c r="B243" s="12"/>
      <c r="C243" s="12"/>
      <c r="D243" s="13"/>
      <c r="E243" s="14"/>
      <c r="F243" s="12"/>
      <c r="G243" s="15" t="str">
        <f t="shared" si="6"/>
        <v/>
      </c>
      <c r="H243" s="15" t="str">
        <f t="shared" si="7"/>
        <v/>
      </c>
      <c r="I243" s="15" t="str">
        <f>IF($A243="","",$H$1+SUM($H$4:$H243)-SUMIFS($E$4:$E243,$F$4:$F243,"open"))</f>
        <v/>
      </c>
      <c r="J243" s="12"/>
    </row>
    <row r="244" spans="1:10" ht="15" customHeight="1" x14ac:dyDescent="0.2">
      <c r="A244" s="11"/>
      <c r="B244" s="12"/>
      <c r="C244" s="12"/>
      <c r="D244" s="13"/>
      <c r="E244" s="14"/>
      <c r="F244" s="12"/>
      <c r="G244" s="15" t="str">
        <f t="shared" si="6"/>
        <v/>
      </c>
      <c r="H244" s="15" t="str">
        <f t="shared" si="7"/>
        <v/>
      </c>
      <c r="I244" s="15" t="str">
        <f>IF($A244="","",$H$1+SUM($H$4:$H244)-SUMIFS($E$4:$E244,$F$4:$F244,"open"))</f>
        <v/>
      </c>
      <c r="J244" s="12"/>
    </row>
    <row r="245" spans="1:10" ht="15" customHeight="1" x14ac:dyDescent="0.2">
      <c r="A245" s="11"/>
      <c r="B245" s="12"/>
      <c r="C245" s="12"/>
      <c r="D245" s="13"/>
      <c r="E245" s="14"/>
      <c r="F245" s="12"/>
      <c r="G245" s="15" t="str">
        <f t="shared" si="6"/>
        <v/>
      </c>
      <c r="H245" s="15" t="str">
        <f t="shared" si="7"/>
        <v/>
      </c>
      <c r="I245" s="15" t="str">
        <f>IF($A245="","",$H$1+SUM($H$4:$H245)-SUMIFS($E$4:$E245,$F$4:$F245,"open"))</f>
        <v/>
      </c>
      <c r="J245" s="12"/>
    </row>
    <row r="246" spans="1:10" ht="15" customHeight="1" x14ac:dyDescent="0.2">
      <c r="A246" s="11"/>
      <c r="B246" s="12"/>
      <c r="C246" s="12"/>
      <c r="D246" s="13"/>
      <c r="E246" s="14"/>
      <c r="F246" s="12"/>
      <c r="G246" s="15" t="str">
        <f t="shared" si="6"/>
        <v/>
      </c>
      <c r="H246" s="15" t="str">
        <f t="shared" si="7"/>
        <v/>
      </c>
      <c r="I246" s="15" t="str">
        <f>IF($A246="","",$H$1+SUM($H$4:$H246)-SUMIFS($E$4:$E246,$F$4:$F246,"open"))</f>
        <v/>
      </c>
      <c r="J246" s="12"/>
    </row>
    <row r="247" spans="1:10" ht="15" customHeight="1" x14ac:dyDescent="0.2">
      <c r="A247" s="11"/>
      <c r="B247" s="12"/>
      <c r="C247" s="12"/>
      <c r="D247" s="13"/>
      <c r="E247" s="14"/>
      <c r="F247" s="12"/>
      <c r="G247" s="15" t="str">
        <f t="shared" si="6"/>
        <v/>
      </c>
      <c r="H247" s="15" t="str">
        <f t="shared" si="7"/>
        <v/>
      </c>
      <c r="I247" s="15" t="str">
        <f>IF($A247="","",$H$1+SUM($H$4:$H247)-SUMIFS($E$4:$E247,$F$4:$F247,"open"))</f>
        <v/>
      </c>
      <c r="J247" s="12"/>
    </row>
    <row r="248" spans="1:10" ht="15" customHeight="1" x14ac:dyDescent="0.2">
      <c r="A248" s="11"/>
      <c r="B248" s="12"/>
      <c r="C248" s="12"/>
      <c r="D248" s="13"/>
      <c r="E248" s="14"/>
      <c r="F248" s="12"/>
      <c r="G248" s="15" t="str">
        <f t="shared" si="6"/>
        <v/>
      </c>
      <c r="H248" s="15" t="str">
        <f t="shared" si="7"/>
        <v/>
      </c>
      <c r="I248" s="15" t="str">
        <f>IF($A248="","",$H$1+SUM($H$4:$H248)-SUMIFS($E$4:$E248,$F$4:$F248,"open"))</f>
        <v/>
      </c>
      <c r="J248" s="12"/>
    </row>
    <row r="249" spans="1:10" ht="15" customHeight="1" x14ac:dyDescent="0.2">
      <c r="A249" s="11"/>
      <c r="B249" s="12"/>
      <c r="C249" s="12"/>
      <c r="D249" s="13"/>
      <c r="E249" s="14"/>
      <c r="F249" s="12"/>
      <c r="G249" s="15" t="str">
        <f t="shared" si="6"/>
        <v/>
      </c>
      <c r="H249" s="15" t="str">
        <f t="shared" si="7"/>
        <v/>
      </c>
      <c r="I249" s="15" t="str">
        <f>IF($A249="","",$H$1+SUM($H$4:$H249)-SUMIFS($E$4:$E249,$F$4:$F249,"open"))</f>
        <v/>
      </c>
      <c r="J249" s="12"/>
    </row>
    <row r="250" spans="1:10" ht="15" customHeight="1" x14ac:dyDescent="0.2">
      <c r="A250" s="11"/>
      <c r="B250" s="12"/>
      <c r="C250" s="12"/>
      <c r="D250" s="13"/>
      <c r="E250" s="14"/>
      <c r="F250" s="12"/>
      <c r="G250" s="15" t="str">
        <f t="shared" si="6"/>
        <v/>
      </c>
      <c r="H250" s="15" t="str">
        <f t="shared" si="7"/>
        <v/>
      </c>
      <c r="I250" s="15" t="str">
        <f>IF($A250="","",$H$1+SUM($H$4:$H250)-SUMIFS($E$4:$E250,$F$4:$F250,"open"))</f>
        <v/>
      </c>
      <c r="J250" s="12"/>
    </row>
    <row r="251" spans="1:10" ht="15" customHeight="1" x14ac:dyDescent="0.2">
      <c r="A251" s="11"/>
      <c r="B251" s="12"/>
      <c r="C251" s="12"/>
      <c r="D251" s="13"/>
      <c r="E251" s="14"/>
      <c r="F251" s="12"/>
      <c r="G251" s="15" t="str">
        <f t="shared" si="6"/>
        <v/>
      </c>
      <c r="H251" s="15" t="str">
        <f t="shared" si="7"/>
        <v/>
      </c>
      <c r="I251" s="15" t="str">
        <f>IF($A251="","",$H$1+SUM($H$4:$H251)-SUMIFS($E$4:$E251,$F$4:$F251,"open"))</f>
        <v/>
      </c>
      <c r="J251" s="12"/>
    </row>
    <row r="252" spans="1:10" ht="15" customHeight="1" x14ac:dyDescent="0.2">
      <c r="A252" s="11"/>
      <c r="B252" s="12"/>
      <c r="C252" s="12"/>
      <c r="D252" s="13"/>
      <c r="E252" s="14"/>
      <c r="F252" s="12"/>
      <c r="G252" s="15" t="str">
        <f t="shared" si="6"/>
        <v/>
      </c>
      <c r="H252" s="15" t="str">
        <f t="shared" si="7"/>
        <v/>
      </c>
      <c r="I252" s="15" t="str">
        <f>IF($A252="","",$H$1+SUM($H$4:$H252)-SUMIFS($E$4:$E252,$F$4:$F252,"open"))</f>
        <v/>
      </c>
      <c r="J252" s="12"/>
    </row>
    <row r="253" spans="1:10" ht="15" customHeight="1" x14ac:dyDescent="0.2">
      <c r="A253" s="11"/>
      <c r="B253" s="12"/>
      <c r="C253" s="12"/>
      <c r="D253" s="13"/>
      <c r="E253" s="14"/>
      <c r="F253" s="12"/>
      <c r="G253" s="15" t="str">
        <f t="shared" si="6"/>
        <v/>
      </c>
      <c r="H253" s="15" t="str">
        <f t="shared" si="7"/>
        <v/>
      </c>
      <c r="I253" s="15" t="str">
        <f>IF($A253="","",$H$1+SUM($H$4:$H253)-SUMIFS($E$4:$E253,$F$4:$F253,"open"))</f>
        <v/>
      </c>
      <c r="J253" s="12"/>
    </row>
    <row r="254" spans="1:10" ht="15" customHeight="1" x14ac:dyDescent="0.2">
      <c r="A254" s="11"/>
      <c r="B254" s="12"/>
      <c r="C254" s="12"/>
      <c r="D254" s="13"/>
      <c r="E254" s="14"/>
      <c r="F254" s="12"/>
      <c r="G254" s="15" t="str">
        <f t="shared" si="6"/>
        <v/>
      </c>
      <c r="H254" s="15" t="str">
        <f t="shared" si="7"/>
        <v/>
      </c>
      <c r="I254" s="15" t="str">
        <f>IF($A254="","",$H$1+SUM($H$4:$H254)-SUMIFS($E$4:$E254,$F$4:$F254,"open"))</f>
        <v/>
      </c>
      <c r="J254" s="12"/>
    </row>
    <row r="255" spans="1:10" ht="15" customHeight="1" x14ac:dyDescent="0.2">
      <c r="A255" s="11"/>
      <c r="B255" s="12"/>
      <c r="C255" s="12"/>
      <c r="D255" s="13"/>
      <c r="E255" s="14"/>
      <c r="F255" s="12"/>
      <c r="G255" s="15" t="str">
        <f t="shared" si="6"/>
        <v/>
      </c>
      <c r="H255" s="15" t="str">
        <f t="shared" si="7"/>
        <v/>
      </c>
      <c r="I255" s="15" t="str">
        <f>IF($A255="","",$H$1+SUM($H$4:$H255)-SUMIFS($E$4:$E255,$F$4:$F255,"open"))</f>
        <v/>
      </c>
      <c r="J255" s="12"/>
    </row>
    <row r="256" spans="1:10" ht="15" customHeight="1" x14ac:dyDescent="0.2">
      <c r="A256" s="11"/>
      <c r="B256" s="12"/>
      <c r="C256" s="12"/>
      <c r="D256" s="13"/>
      <c r="E256" s="14"/>
      <c r="F256" s="12"/>
      <c r="G256" s="15" t="str">
        <f t="shared" si="6"/>
        <v/>
      </c>
      <c r="H256" s="15" t="str">
        <f t="shared" si="7"/>
        <v/>
      </c>
      <c r="I256" s="15" t="str">
        <f>IF($A256="","",$H$1+SUM($H$4:$H256)-SUMIFS($E$4:$E256,$F$4:$F256,"open"))</f>
        <v/>
      </c>
      <c r="J256" s="12"/>
    </row>
    <row r="257" spans="1:10" ht="15" customHeight="1" x14ac:dyDescent="0.2">
      <c r="A257" s="11"/>
      <c r="B257" s="12"/>
      <c r="C257" s="12"/>
      <c r="D257" s="13"/>
      <c r="E257" s="14"/>
      <c r="F257" s="12"/>
      <c r="G257" s="15" t="str">
        <f t="shared" si="6"/>
        <v/>
      </c>
      <c r="H257" s="15" t="str">
        <f t="shared" si="7"/>
        <v/>
      </c>
      <c r="I257" s="15" t="str">
        <f>IF($A257="","",$H$1+SUM($H$4:$H257)-SUMIFS($E$4:$E257,$F$4:$F257,"open"))</f>
        <v/>
      </c>
      <c r="J257" s="12"/>
    </row>
    <row r="258" spans="1:10" ht="15" customHeight="1" x14ac:dyDescent="0.2">
      <c r="A258" s="11"/>
      <c r="B258" s="12"/>
      <c r="C258" s="12"/>
      <c r="D258" s="13"/>
      <c r="E258" s="14"/>
      <c r="F258" s="12"/>
      <c r="G258" s="15" t="str">
        <f t="shared" si="6"/>
        <v/>
      </c>
      <c r="H258" s="15" t="str">
        <f t="shared" si="7"/>
        <v/>
      </c>
      <c r="I258" s="15" t="str">
        <f>IF($A258="","",$H$1+SUM($H$4:$H258)-SUMIFS($E$4:$E258,$F$4:$F258,"open"))</f>
        <v/>
      </c>
      <c r="J258" s="12"/>
    </row>
    <row r="259" spans="1:10" ht="15" customHeight="1" x14ac:dyDescent="0.2">
      <c r="A259" s="11"/>
      <c r="B259" s="12"/>
      <c r="C259" s="12"/>
      <c r="D259" s="13"/>
      <c r="E259" s="14"/>
      <c r="F259" s="12"/>
      <c r="G259" s="15" t="str">
        <f t="shared" si="6"/>
        <v/>
      </c>
      <c r="H259" s="15" t="str">
        <f t="shared" si="7"/>
        <v/>
      </c>
      <c r="I259" s="15" t="str">
        <f>IF($A259="","",$H$1+SUM($H$4:$H259)-SUMIFS($E$4:$E259,$F$4:$F259,"open"))</f>
        <v/>
      </c>
      <c r="J259" s="12"/>
    </row>
    <row r="260" spans="1:10" ht="15" customHeight="1" x14ac:dyDescent="0.2">
      <c r="A260" s="11"/>
      <c r="B260" s="12"/>
      <c r="C260" s="12"/>
      <c r="D260" s="13"/>
      <c r="E260" s="14"/>
      <c r="F260" s="12"/>
      <c r="G260" s="15" t="str">
        <f t="shared" ref="G260:G297" si="8">IF($A260="","",IF($F260="won",$E260*$D260,IF($F260="void",$E260,0)))</f>
        <v/>
      </c>
      <c r="H260" s="15" t="str">
        <f t="shared" ref="H260:H297" si="9">IF($A260="","",IF(OR($F260="open",$F260=""),0,$G260-$E260))</f>
        <v/>
      </c>
      <c r="I260" s="15" t="str">
        <f>IF($A260="","",$H$1+SUM($H$4:$H260)-SUMIFS($E$4:$E260,$F$4:$F260,"open"))</f>
        <v/>
      </c>
      <c r="J260" s="12"/>
    </row>
    <row r="261" spans="1:10" ht="15" customHeight="1" x14ac:dyDescent="0.2">
      <c r="A261" s="11"/>
      <c r="B261" s="12"/>
      <c r="C261" s="12"/>
      <c r="D261" s="13"/>
      <c r="E261" s="14"/>
      <c r="F261" s="12"/>
      <c r="G261" s="15" t="str">
        <f t="shared" si="8"/>
        <v/>
      </c>
      <c r="H261" s="15" t="str">
        <f t="shared" si="9"/>
        <v/>
      </c>
      <c r="I261" s="15" t="str">
        <f>IF($A261="","",$H$1+SUM($H$4:$H261)-SUMIFS($E$4:$E261,$F$4:$F261,"open"))</f>
        <v/>
      </c>
      <c r="J261" s="12"/>
    </row>
    <row r="262" spans="1:10" ht="15" customHeight="1" x14ac:dyDescent="0.2">
      <c r="A262" s="11"/>
      <c r="B262" s="12"/>
      <c r="C262" s="12"/>
      <c r="D262" s="13"/>
      <c r="E262" s="14"/>
      <c r="F262" s="12"/>
      <c r="G262" s="15" t="str">
        <f t="shared" si="8"/>
        <v/>
      </c>
      <c r="H262" s="15" t="str">
        <f t="shared" si="9"/>
        <v/>
      </c>
      <c r="I262" s="15" t="str">
        <f>IF($A262="","",$H$1+SUM($H$4:$H262)-SUMIFS($E$4:$E262,$F$4:$F262,"open"))</f>
        <v/>
      </c>
      <c r="J262" s="12"/>
    </row>
    <row r="263" spans="1:10" ht="15" customHeight="1" x14ac:dyDescent="0.2">
      <c r="A263" s="11"/>
      <c r="B263" s="12"/>
      <c r="C263" s="12"/>
      <c r="D263" s="13"/>
      <c r="E263" s="14"/>
      <c r="F263" s="12"/>
      <c r="G263" s="15" t="str">
        <f t="shared" si="8"/>
        <v/>
      </c>
      <c r="H263" s="15" t="str">
        <f t="shared" si="9"/>
        <v/>
      </c>
      <c r="I263" s="15" t="str">
        <f>IF($A263="","",$H$1+SUM($H$4:$H263)-SUMIFS($E$4:$E263,$F$4:$F263,"open"))</f>
        <v/>
      </c>
      <c r="J263" s="12"/>
    </row>
    <row r="264" spans="1:10" ht="15" customHeight="1" x14ac:dyDescent="0.2">
      <c r="A264" s="11"/>
      <c r="B264" s="12"/>
      <c r="C264" s="12"/>
      <c r="D264" s="13"/>
      <c r="E264" s="14"/>
      <c r="F264" s="12"/>
      <c r="G264" s="15" t="str">
        <f t="shared" si="8"/>
        <v/>
      </c>
      <c r="H264" s="15" t="str">
        <f t="shared" si="9"/>
        <v/>
      </c>
      <c r="I264" s="15" t="str">
        <f>IF($A264="","",$H$1+SUM($H$4:$H264)-SUMIFS($E$4:$E264,$F$4:$F264,"open"))</f>
        <v/>
      </c>
      <c r="J264" s="12"/>
    </row>
    <row r="265" spans="1:10" ht="15" customHeight="1" x14ac:dyDescent="0.2">
      <c r="A265" s="11"/>
      <c r="B265" s="12"/>
      <c r="C265" s="12"/>
      <c r="D265" s="13"/>
      <c r="E265" s="14"/>
      <c r="F265" s="12"/>
      <c r="G265" s="15" t="str">
        <f t="shared" si="8"/>
        <v/>
      </c>
      <c r="H265" s="15" t="str">
        <f t="shared" si="9"/>
        <v/>
      </c>
      <c r="I265" s="15" t="str">
        <f>IF($A265="","",$H$1+SUM($H$4:$H265)-SUMIFS($E$4:$E265,$F$4:$F265,"open"))</f>
        <v/>
      </c>
      <c r="J265" s="12"/>
    </row>
    <row r="266" spans="1:10" ht="15" customHeight="1" x14ac:dyDescent="0.2">
      <c r="A266" s="11"/>
      <c r="B266" s="12"/>
      <c r="C266" s="12"/>
      <c r="D266" s="13"/>
      <c r="E266" s="14"/>
      <c r="F266" s="12"/>
      <c r="G266" s="15" t="str">
        <f t="shared" si="8"/>
        <v/>
      </c>
      <c r="H266" s="15" t="str">
        <f t="shared" si="9"/>
        <v/>
      </c>
      <c r="I266" s="15" t="str">
        <f>IF($A266="","",$H$1+SUM($H$4:$H266)-SUMIFS($E$4:$E266,$F$4:$F266,"open"))</f>
        <v/>
      </c>
      <c r="J266" s="12"/>
    </row>
    <row r="267" spans="1:10" ht="15" customHeight="1" x14ac:dyDescent="0.2">
      <c r="A267" s="11"/>
      <c r="B267" s="12"/>
      <c r="C267" s="12"/>
      <c r="D267" s="13"/>
      <c r="E267" s="14"/>
      <c r="F267" s="12"/>
      <c r="G267" s="15" t="str">
        <f t="shared" si="8"/>
        <v/>
      </c>
      <c r="H267" s="15" t="str">
        <f t="shared" si="9"/>
        <v/>
      </c>
      <c r="I267" s="15" t="str">
        <f>IF($A267="","",$H$1+SUM($H$4:$H267)-SUMIFS($E$4:$E267,$F$4:$F267,"open"))</f>
        <v/>
      </c>
      <c r="J267" s="12"/>
    </row>
    <row r="268" spans="1:10" ht="15" customHeight="1" x14ac:dyDescent="0.2">
      <c r="A268" s="11"/>
      <c r="B268" s="12"/>
      <c r="C268" s="12"/>
      <c r="D268" s="13"/>
      <c r="E268" s="14"/>
      <c r="F268" s="12"/>
      <c r="G268" s="15" t="str">
        <f t="shared" si="8"/>
        <v/>
      </c>
      <c r="H268" s="15" t="str">
        <f t="shared" si="9"/>
        <v/>
      </c>
      <c r="I268" s="15" t="str">
        <f>IF($A268="","",$H$1+SUM($H$4:$H268)-SUMIFS($E$4:$E268,$F$4:$F268,"open"))</f>
        <v/>
      </c>
      <c r="J268" s="12"/>
    </row>
    <row r="269" spans="1:10" ht="15" customHeight="1" x14ac:dyDescent="0.2">
      <c r="A269" s="11"/>
      <c r="B269" s="12"/>
      <c r="C269" s="12"/>
      <c r="D269" s="13"/>
      <c r="E269" s="14"/>
      <c r="F269" s="12"/>
      <c r="G269" s="15" t="str">
        <f t="shared" si="8"/>
        <v/>
      </c>
      <c r="H269" s="15" t="str">
        <f t="shared" si="9"/>
        <v/>
      </c>
      <c r="I269" s="15" t="str">
        <f>IF($A269="","",$H$1+SUM($H$4:$H269)-SUMIFS($E$4:$E269,$F$4:$F269,"open"))</f>
        <v/>
      </c>
      <c r="J269" s="12"/>
    </row>
    <row r="270" spans="1:10" ht="15" customHeight="1" x14ac:dyDescent="0.2">
      <c r="A270" s="11"/>
      <c r="B270" s="12"/>
      <c r="C270" s="12"/>
      <c r="D270" s="13"/>
      <c r="E270" s="14"/>
      <c r="F270" s="12"/>
      <c r="G270" s="15" t="str">
        <f t="shared" si="8"/>
        <v/>
      </c>
      <c r="H270" s="15" t="str">
        <f t="shared" si="9"/>
        <v/>
      </c>
      <c r="I270" s="15" t="str">
        <f>IF($A270="","",$H$1+SUM($H$4:$H270)-SUMIFS($E$4:$E270,$F$4:$F270,"open"))</f>
        <v/>
      </c>
      <c r="J270" s="12"/>
    </row>
    <row r="271" spans="1:10" ht="15" customHeight="1" x14ac:dyDescent="0.2">
      <c r="A271" s="11"/>
      <c r="B271" s="12"/>
      <c r="C271" s="12"/>
      <c r="D271" s="13"/>
      <c r="E271" s="14"/>
      <c r="F271" s="12"/>
      <c r="G271" s="15" t="str">
        <f t="shared" si="8"/>
        <v/>
      </c>
      <c r="H271" s="15" t="str">
        <f t="shared" si="9"/>
        <v/>
      </c>
      <c r="I271" s="15" t="str">
        <f>IF($A271="","",$H$1+SUM($H$4:$H271)-SUMIFS($E$4:$E271,$F$4:$F271,"open"))</f>
        <v/>
      </c>
      <c r="J271" s="12"/>
    </row>
    <row r="272" spans="1:10" ht="15" customHeight="1" x14ac:dyDescent="0.2">
      <c r="A272" s="11"/>
      <c r="B272" s="12"/>
      <c r="C272" s="12"/>
      <c r="D272" s="13"/>
      <c r="E272" s="14"/>
      <c r="F272" s="12"/>
      <c r="G272" s="15" t="str">
        <f t="shared" si="8"/>
        <v/>
      </c>
      <c r="H272" s="15" t="str">
        <f t="shared" si="9"/>
        <v/>
      </c>
      <c r="I272" s="15" t="str">
        <f>IF($A272="","",$H$1+SUM($H$4:$H272)-SUMIFS($E$4:$E272,$F$4:$F272,"open"))</f>
        <v/>
      </c>
      <c r="J272" s="12"/>
    </row>
    <row r="273" spans="1:10" ht="15" customHeight="1" x14ac:dyDescent="0.2">
      <c r="A273" s="11"/>
      <c r="B273" s="12"/>
      <c r="C273" s="12"/>
      <c r="D273" s="13"/>
      <c r="E273" s="14"/>
      <c r="F273" s="12"/>
      <c r="G273" s="15" t="str">
        <f t="shared" si="8"/>
        <v/>
      </c>
      <c r="H273" s="15" t="str">
        <f t="shared" si="9"/>
        <v/>
      </c>
      <c r="I273" s="15" t="str">
        <f>IF($A273="","",$H$1+SUM($H$4:$H273)-SUMIFS($E$4:$E273,$F$4:$F273,"open"))</f>
        <v/>
      </c>
      <c r="J273" s="12"/>
    </row>
    <row r="274" spans="1:10" ht="15" customHeight="1" x14ac:dyDescent="0.2">
      <c r="A274" s="11"/>
      <c r="B274" s="12"/>
      <c r="C274" s="12"/>
      <c r="D274" s="13"/>
      <c r="E274" s="14"/>
      <c r="F274" s="12"/>
      <c r="G274" s="15" t="str">
        <f t="shared" si="8"/>
        <v/>
      </c>
      <c r="H274" s="15" t="str">
        <f t="shared" si="9"/>
        <v/>
      </c>
      <c r="I274" s="15" t="str">
        <f>IF($A274="","",$H$1+SUM($H$4:$H274)-SUMIFS($E$4:$E274,$F$4:$F274,"open"))</f>
        <v/>
      </c>
      <c r="J274" s="12"/>
    </row>
    <row r="275" spans="1:10" ht="15" customHeight="1" x14ac:dyDescent="0.2">
      <c r="A275" s="11"/>
      <c r="B275" s="12"/>
      <c r="C275" s="12"/>
      <c r="D275" s="13"/>
      <c r="E275" s="14"/>
      <c r="F275" s="12"/>
      <c r="G275" s="15" t="str">
        <f t="shared" si="8"/>
        <v/>
      </c>
      <c r="H275" s="15" t="str">
        <f t="shared" si="9"/>
        <v/>
      </c>
      <c r="I275" s="15" t="str">
        <f>IF($A275="","",$H$1+SUM($H$4:$H275)-SUMIFS($E$4:$E275,$F$4:$F275,"open"))</f>
        <v/>
      </c>
      <c r="J275" s="12"/>
    </row>
    <row r="276" spans="1:10" ht="15" customHeight="1" x14ac:dyDescent="0.2">
      <c r="A276" s="11"/>
      <c r="B276" s="12"/>
      <c r="C276" s="12"/>
      <c r="D276" s="13"/>
      <c r="E276" s="14"/>
      <c r="F276" s="12"/>
      <c r="G276" s="15" t="str">
        <f t="shared" si="8"/>
        <v/>
      </c>
      <c r="H276" s="15" t="str">
        <f t="shared" si="9"/>
        <v/>
      </c>
      <c r="I276" s="15" t="str">
        <f>IF($A276="","",$H$1+SUM($H$4:$H276)-SUMIFS($E$4:$E276,$F$4:$F276,"open"))</f>
        <v/>
      </c>
      <c r="J276" s="12"/>
    </row>
    <row r="277" spans="1:10" ht="15" customHeight="1" x14ac:dyDescent="0.2">
      <c r="A277" s="11"/>
      <c r="B277" s="12"/>
      <c r="C277" s="12"/>
      <c r="D277" s="13"/>
      <c r="E277" s="14"/>
      <c r="F277" s="12"/>
      <c r="G277" s="15" t="str">
        <f t="shared" si="8"/>
        <v/>
      </c>
      <c r="H277" s="15" t="str">
        <f t="shared" si="9"/>
        <v/>
      </c>
      <c r="I277" s="15" t="str">
        <f>IF($A277="","",$H$1+SUM($H$4:$H277)-SUMIFS($E$4:$E277,$F$4:$F277,"open"))</f>
        <v/>
      </c>
      <c r="J277" s="12"/>
    </row>
    <row r="278" spans="1:10" ht="15" customHeight="1" x14ac:dyDescent="0.2">
      <c r="A278" s="11"/>
      <c r="B278" s="12"/>
      <c r="C278" s="12"/>
      <c r="D278" s="13"/>
      <c r="E278" s="14"/>
      <c r="F278" s="12"/>
      <c r="G278" s="15" t="str">
        <f t="shared" si="8"/>
        <v/>
      </c>
      <c r="H278" s="15" t="str">
        <f t="shared" si="9"/>
        <v/>
      </c>
      <c r="I278" s="15" t="str">
        <f>IF($A278="","",$H$1+SUM($H$4:$H278)-SUMIFS($E$4:$E278,$F$4:$F278,"open"))</f>
        <v/>
      </c>
      <c r="J278" s="12"/>
    </row>
    <row r="279" spans="1:10" ht="15" customHeight="1" x14ac:dyDescent="0.2">
      <c r="A279" s="11"/>
      <c r="B279" s="12"/>
      <c r="C279" s="12"/>
      <c r="D279" s="13"/>
      <c r="E279" s="14"/>
      <c r="F279" s="12"/>
      <c r="G279" s="15" t="str">
        <f t="shared" si="8"/>
        <v/>
      </c>
      <c r="H279" s="15" t="str">
        <f t="shared" si="9"/>
        <v/>
      </c>
      <c r="I279" s="15" t="str">
        <f>IF($A279="","",$H$1+SUM($H$4:$H279)-SUMIFS($E$4:$E279,$F$4:$F279,"open"))</f>
        <v/>
      </c>
      <c r="J279" s="12"/>
    </row>
    <row r="280" spans="1:10" ht="15" customHeight="1" x14ac:dyDescent="0.2">
      <c r="A280" s="11"/>
      <c r="B280" s="12"/>
      <c r="C280" s="12"/>
      <c r="D280" s="13"/>
      <c r="E280" s="14"/>
      <c r="F280" s="12"/>
      <c r="G280" s="15" t="str">
        <f t="shared" si="8"/>
        <v/>
      </c>
      <c r="H280" s="15" t="str">
        <f t="shared" si="9"/>
        <v/>
      </c>
      <c r="I280" s="15" t="str">
        <f>IF($A280="","",$H$1+SUM($H$4:$H280)-SUMIFS($E$4:$E280,$F$4:$F280,"open"))</f>
        <v/>
      </c>
      <c r="J280" s="12"/>
    </row>
    <row r="281" spans="1:10" ht="15" customHeight="1" x14ac:dyDescent="0.2">
      <c r="A281" s="11"/>
      <c r="B281" s="12"/>
      <c r="C281" s="12"/>
      <c r="D281" s="13"/>
      <c r="E281" s="14"/>
      <c r="F281" s="12"/>
      <c r="G281" s="15" t="str">
        <f t="shared" si="8"/>
        <v/>
      </c>
      <c r="H281" s="15" t="str">
        <f t="shared" si="9"/>
        <v/>
      </c>
      <c r="I281" s="15" t="str">
        <f>IF($A281="","",$H$1+SUM($H$4:$H281)-SUMIFS($E$4:$E281,$F$4:$F281,"open"))</f>
        <v/>
      </c>
      <c r="J281" s="12"/>
    </row>
    <row r="282" spans="1:10" ht="15" customHeight="1" x14ac:dyDescent="0.2">
      <c r="A282" s="11"/>
      <c r="B282" s="12"/>
      <c r="C282" s="12"/>
      <c r="D282" s="13"/>
      <c r="E282" s="14"/>
      <c r="F282" s="12"/>
      <c r="G282" s="15" t="str">
        <f t="shared" si="8"/>
        <v/>
      </c>
      <c r="H282" s="15" t="str">
        <f t="shared" si="9"/>
        <v/>
      </c>
      <c r="I282" s="15" t="str">
        <f>IF($A282="","",$H$1+SUM($H$4:$H282)-SUMIFS($E$4:$E282,$F$4:$F282,"open"))</f>
        <v/>
      </c>
      <c r="J282" s="12"/>
    </row>
    <row r="283" spans="1:10" ht="15" customHeight="1" x14ac:dyDescent="0.2">
      <c r="A283" s="11"/>
      <c r="B283" s="12"/>
      <c r="C283" s="12"/>
      <c r="D283" s="13"/>
      <c r="E283" s="14"/>
      <c r="F283" s="12"/>
      <c r="G283" s="15" t="str">
        <f t="shared" si="8"/>
        <v/>
      </c>
      <c r="H283" s="15" t="str">
        <f t="shared" si="9"/>
        <v/>
      </c>
      <c r="I283" s="15" t="str">
        <f>IF($A283="","",$H$1+SUM($H$4:$H283)-SUMIFS($E$4:$E283,$F$4:$F283,"open"))</f>
        <v/>
      </c>
      <c r="J283" s="12"/>
    </row>
    <row r="284" spans="1:10" ht="15" customHeight="1" x14ac:dyDescent="0.2">
      <c r="A284" s="11"/>
      <c r="B284" s="12"/>
      <c r="C284" s="12"/>
      <c r="D284" s="13"/>
      <c r="E284" s="14"/>
      <c r="F284" s="12"/>
      <c r="G284" s="15" t="str">
        <f t="shared" si="8"/>
        <v/>
      </c>
      <c r="H284" s="15" t="str">
        <f t="shared" si="9"/>
        <v/>
      </c>
      <c r="I284" s="15" t="str">
        <f>IF($A284="","",$H$1+SUM($H$4:$H284)-SUMIFS($E$4:$E284,$F$4:$F284,"open"))</f>
        <v/>
      </c>
      <c r="J284" s="12"/>
    </row>
    <row r="285" spans="1:10" ht="15" customHeight="1" x14ac:dyDescent="0.2">
      <c r="A285" s="11"/>
      <c r="B285" s="12"/>
      <c r="C285" s="12"/>
      <c r="D285" s="13"/>
      <c r="E285" s="14"/>
      <c r="F285" s="12"/>
      <c r="G285" s="15" t="str">
        <f t="shared" si="8"/>
        <v/>
      </c>
      <c r="H285" s="15" t="str">
        <f t="shared" si="9"/>
        <v/>
      </c>
      <c r="I285" s="15" t="str">
        <f>IF($A285="","",$H$1+SUM($H$4:$H285)-SUMIFS($E$4:$E285,$F$4:$F285,"open"))</f>
        <v/>
      </c>
      <c r="J285" s="12"/>
    </row>
    <row r="286" spans="1:10" ht="15" customHeight="1" x14ac:dyDescent="0.2">
      <c r="A286" s="11"/>
      <c r="B286" s="12"/>
      <c r="C286" s="12"/>
      <c r="D286" s="13"/>
      <c r="E286" s="14"/>
      <c r="F286" s="12"/>
      <c r="G286" s="15" t="str">
        <f t="shared" si="8"/>
        <v/>
      </c>
      <c r="H286" s="15" t="str">
        <f t="shared" si="9"/>
        <v/>
      </c>
      <c r="I286" s="15" t="str">
        <f>IF($A286="","",$H$1+SUM($H$4:$H286)-SUMIFS($E$4:$E286,$F$4:$F286,"open"))</f>
        <v/>
      </c>
      <c r="J286" s="12"/>
    </row>
    <row r="287" spans="1:10" ht="15" customHeight="1" x14ac:dyDescent="0.2">
      <c r="A287" s="11"/>
      <c r="B287" s="12"/>
      <c r="C287" s="12"/>
      <c r="D287" s="13"/>
      <c r="E287" s="14"/>
      <c r="F287" s="12"/>
      <c r="G287" s="15" t="str">
        <f t="shared" si="8"/>
        <v/>
      </c>
      <c r="H287" s="15" t="str">
        <f t="shared" si="9"/>
        <v/>
      </c>
      <c r="I287" s="15" t="str">
        <f>IF($A287="","",$H$1+SUM($H$4:$H287)-SUMIFS($E$4:$E287,$F$4:$F287,"open"))</f>
        <v/>
      </c>
      <c r="J287" s="12"/>
    </row>
    <row r="288" spans="1:10" ht="15" customHeight="1" x14ac:dyDescent="0.2">
      <c r="A288" s="11"/>
      <c r="B288" s="12"/>
      <c r="C288" s="12"/>
      <c r="D288" s="13"/>
      <c r="E288" s="14"/>
      <c r="F288" s="12"/>
      <c r="G288" s="15" t="str">
        <f t="shared" si="8"/>
        <v/>
      </c>
      <c r="H288" s="15" t="str">
        <f t="shared" si="9"/>
        <v/>
      </c>
      <c r="I288" s="15" t="str">
        <f>IF($A288="","",$H$1+SUM($H$4:$H288)-SUMIFS($E$4:$E288,$F$4:$F288,"open"))</f>
        <v/>
      </c>
      <c r="J288" s="12"/>
    </row>
    <row r="289" spans="1:10" ht="15" customHeight="1" x14ac:dyDescent="0.2">
      <c r="A289" s="11"/>
      <c r="B289" s="12"/>
      <c r="C289" s="12"/>
      <c r="D289" s="13"/>
      <c r="E289" s="14"/>
      <c r="F289" s="12"/>
      <c r="G289" s="15" t="str">
        <f t="shared" si="8"/>
        <v/>
      </c>
      <c r="H289" s="15" t="str">
        <f t="shared" si="9"/>
        <v/>
      </c>
      <c r="I289" s="15" t="str">
        <f>IF($A289="","",$H$1+SUM($H$4:$H289)-SUMIFS($E$4:$E289,$F$4:$F289,"open"))</f>
        <v/>
      </c>
      <c r="J289" s="12"/>
    </row>
    <row r="290" spans="1:10" ht="15" customHeight="1" x14ac:dyDescent="0.2">
      <c r="A290" s="11"/>
      <c r="B290" s="12"/>
      <c r="C290" s="12"/>
      <c r="D290" s="13"/>
      <c r="E290" s="14"/>
      <c r="F290" s="12"/>
      <c r="G290" s="15" t="str">
        <f t="shared" si="8"/>
        <v/>
      </c>
      <c r="H290" s="15" t="str">
        <f t="shared" si="9"/>
        <v/>
      </c>
      <c r="I290" s="15" t="str">
        <f>IF($A290="","",$H$1+SUM($H$4:$H290)-SUMIFS($E$4:$E290,$F$4:$F290,"open"))</f>
        <v/>
      </c>
      <c r="J290" s="12"/>
    </row>
    <row r="291" spans="1:10" ht="15" customHeight="1" x14ac:dyDescent="0.2">
      <c r="A291" s="11"/>
      <c r="B291" s="12"/>
      <c r="C291" s="12"/>
      <c r="D291" s="13"/>
      <c r="E291" s="14"/>
      <c r="F291" s="12"/>
      <c r="G291" s="15" t="str">
        <f t="shared" si="8"/>
        <v/>
      </c>
      <c r="H291" s="15" t="str">
        <f t="shared" si="9"/>
        <v/>
      </c>
      <c r="I291" s="15" t="str">
        <f>IF($A291="","",$H$1+SUM($H$4:$H291)-SUMIFS($E$4:$E291,$F$4:$F291,"open"))</f>
        <v/>
      </c>
      <c r="J291" s="12"/>
    </row>
    <row r="292" spans="1:10" ht="15" customHeight="1" x14ac:dyDescent="0.2">
      <c r="A292" s="11"/>
      <c r="B292" s="12"/>
      <c r="C292" s="12"/>
      <c r="D292" s="13"/>
      <c r="E292" s="14"/>
      <c r="F292" s="12"/>
      <c r="G292" s="15" t="str">
        <f t="shared" si="8"/>
        <v/>
      </c>
      <c r="H292" s="15" t="str">
        <f t="shared" si="9"/>
        <v/>
      </c>
      <c r="I292" s="15" t="str">
        <f>IF($A292="","",$H$1+SUM($H$4:$H292)-SUMIFS($E$4:$E292,$F$4:$F292,"open"))</f>
        <v/>
      </c>
      <c r="J292" s="12"/>
    </row>
    <row r="293" spans="1:10" ht="15" customHeight="1" x14ac:dyDescent="0.2">
      <c r="A293" s="11"/>
      <c r="B293" s="12"/>
      <c r="C293" s="12"/>
      <c r="D293" s="13"/>
      <c r="E293" s="14"/>
      <c r="F293" s="12"/>
      <c r="G293" s="15" t="str">
        <f t="shared" si="8"/>
        <v/>
      </c>
      <c r="H293" s="15" t="str">
        <f t="shared" si="9"/>
        <v/>
      </c>
      <c r="I293" s="15" t="str">
        <f>IF($A293="","",$H$1+SUM($H$4:$H293)-SUMIFS($E$4:$E293,$F$4:$F293,"open"))</f>
        <v/>
      </c>
      <c r="J293" s="12"/>
    </row>
    <row r="294" spans="1:10" ht="15" customHeight="1" x14ac:dyDescent="0.2">
      <c r="A294" s="11"/>
      <c r="B294" s="12"/>
      <c r="C294" s="12"/>
      <c r="D294" s="13"/>
      <c r="E294" s="14"/>
      <c r="F294" s="12"/>
      <c r="G294" s="15" t="str">
        <f t="shared" si="8"/>
        <v/>
      </c>
      <c r="H294" s="15" t="str">
        <f t="shared" si="9"/>
        <v/>
      </c>
      <c r="I294" s="15" t="str">
        <f>IF($A294="","",$H$1+SUM($H$4:$H294)-SUMIFS($E$4:$E294,$F$4:$F294,"open"))</f>
        <v/>
      </c>
      <c r="J294" s="12"/>
    </row>
    <row r="295" spans="1:10" ht="15" customHeight="1" x14ac:dyDescent="0.2">
      <c r="A295" s="11"/>
      <c r="B295" s="12"/>
      <c r="C295" s="12"/>
      <c r="D295" s="13"/>
      <c r="E295" s="14"/>
      <c r="F295" s="12"/>
      <c r="G295" s="15" t="str">
        <f t="shared" si="8"/>
        <v/>
      </c>
      <c r="H295" s="15" t="str">
        <f t="shared" si="9"/>
        <v/>
      </c>
      <c r="I295" s="15" t="str">
        <f>IF($A295="","",$H$1+SUM($H$4:$H295)-SUMIFS($E$4:$E295,$F$4:$F295,"open"))</f>
        <v/>
      </c>
      <c r="J295" s="12"/>
    </row>
    <row r="296" spans="1:10" ht="15" customHeight="1" x14ac:dyDescent="0.2">
      <c r="A296" s="11"/>
      <c r="B296" s="12"/>
      <c r="C296" s="12"/>
      <c r="D296" s="13"/>
      <c r="E296" s="14"/>
      <c r="F296" s="12"/>
      <c r="G296" s="15" t="str">
        <f t="shared" si="8"/>
        <v/>
      </c>
      <c r="H296" s="15" t="str">
        <f t="shared" si="9"/>
        <v/>
      </c>
      <c r="I296" s="15" t="str">
        <f>IF($A296="","",$H$1+SUM($H$4:$H296)-SUMIFS($E$4:$E296,$F$4:$F296,"open"))</f>
        <v/>
      </c>
      <c r="J296" s="12"/>
    </row>
    <row r="297" spans="1:10" ht="15" customHeight="1" x14ac:dyDescent="0.2">
      <c r="A297" s="11"/>
      <c r="B297" s="12"/>
      <c r="C297" s="12"/>
      <c r="D297" s="13"/>
      <c r="E297" s="14"/>
      <c r="F297" s="12"/>
      <c r="G297" s="15" t="str">
        <f t="shared" si="8"/>
        <v/>
      </c>
      <c r="H297" s="15" t="str">
        <f t="shared" si="9"/>
        <v/>
      </c>
      <c r="I297" s="15" t="str">
        <f>IF($A297="","",$H$1+SUM($H$4:$H297)-SUMIFS($E$4:$E297,$F$4:$F297,"open"))</f>
        <v/>
      </c>
      <c r="J297" s="12"/>
    </row>
  </sheetData>
  <dataValidations count="1">
    <dataValidation type="list" allowBlank="1" showErrorMessage="1" error="Use: open, won, lost or void" sqref="F4:F297" xr:uid="{00000000-0002-0000-0100-000000000000}">
      <formula1>"open,won,lost,void"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3"/>
  <sheetViews>
    <sheetView tabSelected="1" zoomScale="130" zoomScaleNormal="130" workbookViewId="0">
      <pane ySplit="1" topLeftCell="A2" activePane="bottomLeft" state="frozen"/>
      <selection pane="bottomLeft" activeCell="B17" sqref="B17"/>
    </sheetView>
  </sheetViews>
  <sheetFormatPr baseColWidth="10" defaultColWidth="8.6640625" defaultRowHeight="15" x14ac:dyDescent="0.2"/>
  <cols>
    <col min="1" max="2" width="11" customWidth="1"/>
    <col min="3" max="4" width="14" customWidth="1"/>
    <col min="5" max="5" width="9" customWidth="1"/>
    <col min="6" max="6" width="32" customWidth="1"/>
    <col min="7" max="7" width="7" customWidth="1"/>
    <col min="8" max="8" width="9" customWidth="1"/>
    <col min="9" max="9" width="8" customWidth="1"/>
    <col min="10" max="10" width="9" customWidth="1"/>
    <col min="11" max="11" width="13" customWidth="1"/>
  </cols>
  <sheetData>
    <row r="1" spans="1:13" ht="15" customHeight="1" x14ac:dyDescent="0.2">
      <c r="A1" s="16" t="s">
        <v>57</v>
      </c>
      <c r="B1" s="16" t="s">
        <v>58</v>
      </c>
      <c r="C1" s="16" t="s">
        <v>59</v>
      </c>
      <c r="D1" s="16" t="s">
        <v>60</v>
      </c>
      <c r="E1" s="16" t="s">
        <v>61</v>
      </c>
      <c r="F1" s="16" t="s">
        <v>62</v>
      </c>
      <c r="G1" s="16" t="s">
        <v>63</v>
      </c>
      <c r="H1" s="16" t="s">
        <v>64</v>
      </c>
      <c r="I1" s="16" t="s">
        <v>65</v>
      </c>
      <c r="J1" s="16" t="s">
        <v>66</v>
      </c>
      <c r="K1" s="16" t="s">
        <v>67</v>
      </c>
      <c r="L1" s="20" t="s">
        <v>68</v>
      </c>
      <c r="M1" s="9" t="s">
        <v>69</v>
      </c>
    </row>
    <row r="2" spans="1:13" ht="15" customHeight="1" x14ac:dyDescent="0.2">
      <c r="A2" s="17" t="s">
        <v>70</v>
      </c>
      <c r="B2" s="17" t="s">
        <v>70</v>
      </c>
      <c r="C2" s="17" t="s">
        <v>17</v>
      </c>
      <c r="D2" s="17" t="s">
        <v>71</v>
      </c>
      <c r="E2" s="17" t="s">
        <v>59</v>
      </c>
      <c r="F2" s="17" t="s">
        <v>72</v>
      </c>
      <c r="G2" s="18">
        <v>2.6</v>
      </c>
      <c r="H2" s="19">
        <v>2.58</v>
      </c>
      <c r="I2" s="17" t="s">
        <v>15</v>
      </c>
      <c r="J2" s="19">
        <v>4.13</v>
      </c>
      <c r="K2" s="19">
        <v>104.13</v>
      </c>
      <c r="L2" s="21"/>
    </row>
    <row r="3" spans="1:13" ht="15" customHeight="1" x14ac:dyDescent="0.2">
      <c r="A3" s="17" t="s">
        <v>70</v>
      </c>
      <c r="B3" s="17" t="s">
        <v>70</v>
      </c>
      <c r="C3" s="17" t="s">
        <v>14</v>
      </c>
      <c r="D3" s="17" t="s">
        <v>73</v>
      </c>
      <c r="E3" s="17" t="s">
        <v>59</v>
      </c>
      <c r="F3" s="17" t="s">
        <v>74</v>
      </c>
      <c r="G3" s="18">
        <v>2</v>
      </c>
      <c r="H3" s="19">
        <v>10</v>
      </c>
      <c r="I3" s="17" t="s">
        <v>15</v>
      </c>
      <c r="J3" s="19">
        <v>10</v>
      </c>
      <c r="K3" s="19">
        <v>114.13</v>
      </c>
      <c r="L3" s="21"/>
    </row>
    <row r="4" spans="1:13" ht="15" customHeight="1" x14ac:dyDescent="0.2">
      <c r="A4" s="17" t="s">
        <v>70</v>
      </c>
      <c r="B4" s="17" t="s">
        <v>75</v>
      </c>
      <c r="C4" s="17" t="s">
        <v>21</v>
      </c>
      <c r="D4" s="17" t="s">
        <v>76</v>
      </c>
      <c r="E4" s="17" t="s">
        <v>77</v>
      </c>
      <c r="F4" s="17" t="s">
        <v>78</v>
      </c>
      <c r="G4" s="18">
        <v>11</v>
      </c>
      <c r="H4" s="19">
        <v>2.2200000000000002</v>
      </c>
      <c r="I4" s="17" t="s">
        <v>22</v>
      </c>
      <c r="J4" s="19">
        <v>0</v>
      </c>
      <c r="K4" s="19"/>
      <c r="L4" s="21"/>
    </row>
    <row r="5" spans="1:13" ht="15" customHeight="1" x14ac:dyDescent="0.2">
      <c r="A5" s="17" t="s">
        <v>70</v>
      </c>
      <c r="B5" s="17" t="s">
        <v>75</v>
      </c>
      <c r="C5" s="17" t="s">
        <v>14</v>
      </c>
      <c r="D5" s="17" t="s">
        <v>76</v>
      </c>
      <c r="E5" s="17" t="s">
        <v>77</v>
      </c>
      <c r="F5" s="17" t="s">
        <v>79</v>
      </c>
      <c r="G5" s="18">
        <v>67</v>
      </c>
      <c r="H5" s="19">
        <v>0.65</v>
      </c>
      <c r="I5" s="17" t="s">
        <v>22</v>
      </c>
      <c r="J5" s="19">
        <v>0</v>
      </c>
      <c r="K5" s="19"/>
      <c r="L5" s="21"/>
    </row>
    <row r="6" spans="1:13" ht="15" customHeight="1" x14ac:dyDescent="0.2">
      <c r="A6" s="17" t="s">
        <v>70</v>
      </c>
      <c r="B6" s="17" t="s">
        <v>75</v>
      </c>
      <c r="C6" s="17" t="s">
        <v>14</v>
      </c>
      <c r="D6" s="17" t="s">
        <v>76</v>
      </c>
      <c r="E6" s="17" t="s">
        <v>77</v>
      </c>
      <c r="F6" s="17" t="s">
        <v>80</v>
      </c>
      <c r="G6" s="18">
        <v>34</v>
      </c>
      <c r="H6" s="19">
        <v>0.65</v>
      </c>
      <c r="I6" s="17" t="s">
        <v>22</v>
      </c>
      <c r="J6" s="19">
        <v>0</v>
      </c>
      <c r="K6" s="19"/>
      <c r="L6" s="21"/>
    </row>
    <row r="7" spans="1:13" ht="15" customHeight="1" x14ac:dyDescent="0.2">
      <c r="A7" s="17" t="s">
        <v>70</v>
      </c>
      <c r="B7" s="17" t="s">
        <v>70</v>
      </c>
      <c r="C7" s="17" t="s">
        <v>14</v>
      </c>
      <c r="D7" s="17" t="s">
        <v>73</v>
      </c>
      <c r="E7" s="17" t="s">
        <v>81</v>
      </c>
      <c r="F7" s="17" t="s">
        <v>82</v>
      </c>
      <c r="G7" s="18">
        <v>2.1949999999999998</v>
      </c>
      <c r="H7" s="19">
        <v>2.78</v>
      </c>
      <c r="I7" s="17" t="s">
        <v>19</v>
      </c>
      <c r="J7" s="19">
        <v>-2.78</v>
      </c>
      <c r="K7" s="19">
        <v>111.35</v>
      </c>
      <c r="L7" s="21"/>
    </row>
    <row r="8" spans="1:13" x14ac:dyDescent="0.2">
      <c r="A8" s="17" t="s">
        <v>83</v>
      </c>
      <c r="B8" s="17" t="s">
        <v>83</v>
      </c>
      <c r="C8" s="17" t="s">
        <v>27</v>
      </c>
      <c r="D8" s="17" t="s">
        <v>84</v>
      </c>
      <c r="E8" s="17" t="s">
        <v>59</v>
      </c>
      <c r="F8" s="17" t="s">
        <v>85</v>
      </c>
      <c r="G8" s="18">
        <v>1.83</v>
      </c>
      <c r="H8" s="19">
        <v>8.44</v>
      </c>
      <c r="I8" s="17" t="s">
        <v>19</v>
      </c>
      <c r="J8" s="19">
        <v>-8.44</v>
      </c>
      <c r="K8" s="19">
        <v>102.91</v>
      </c>
      <c r="L8" s="21"/>
    </row>
    <row r="9" spans="1:13" x14ac:dyDescent="0.2">
      <c r="A9" s="17" t="s">
        <v>83</v>
      </c>
      <c r="B9" s="17" t="s">
        <v>86</v>
      </c>
      <c r="C9" s="17" t="s">
        <v>87</v>
      </c>
      <c r="D9" s="17" t="s">
        <v>25</v>
      </c>
      <c r="E9" s="17" t="s">
        <v>60</v>
      </c>
      <c r="F9" s="17" t="s">
        <v>88</v>
      </c>
      <c r="G9" s="18">
        <v>4</v>
      </c>
      <c r="H9" s="19">
        <v>1.64</v>
      </c>
      <c r="I9" s="17" t="s">
        <v>19</v>
      </c>
      <c r="J9" s="19">
        <v>-1.64</v>
      </c>
      <c r="K9" s="19">
        <v>98.25</v>
      </c>
      <c r="L9" s="21"/>
    </row>
    <row r="10" spans="1:13" x14ac:dyDescent="0.2">
      <c r="A10" s="17" t="s">
        <v>86</v>
      </c>
      <c r="B10" s="17" t="s">
        <v>86</v>
      </c>
      <c r="C10" s="17" t="s">
        <v>31</v>
      </c>
      <c r="D10" s="17" t="s">
        <v>89</v>
      </c>
      <c r="E10" s="17" t="s">
        <v>59</v>
      </c>
      <c r="F10" s="17" t="s">
        <v>90</v>
      </c>
      <c r="G10" s="18">
        <v>5.25</v>
      </c>
      <c r="H10" s="19">
        <v>5.68</v>
      </c>
      <c r="I10" s="17" t="s">
        <v>15</v>
      </c>
      <c r="J10" s="19">
        <v>24.14</v>
      </c>
      <c r="K10" s="19">
        <v>122.39</v>
      </c>
      <c r="L10" s="21"/>
    </row>
    <row r="11" spans="1:13" x14ac:dyDescent="0.2">
      <c r="A11" s="17" t="s">
        <v>86</v>
      </c>
      <c r="B11" s="17" t="s">
        <v>91</v>
      </c>
      <c r="C11" s="17" t="s">
        <v>92</v>
      </c>
      <c r="D11" s="17" t="s">
        <v>33</v>
      </c>
      <c r="E11" s="17" t="s">
        <v>60</v>
      </c>
      <c r="F11" s="17" t="s">
        <v>93</v>
      </c>
      <c r="G11" s="18">
        <v>3.8</v>
      </c>
      <c r="H11" s="19">
        <v>3.53</v>
      </c>
      <c r="I11" s="17" t="s">
        <v>19</v>
      </c>
      <c r="J11" s="19">
        <v>-3.53</v>
      </c>
      <c r="K11" s="19">
        <v>122.73</v>
      </c>
      <c r="L11" s="21"/>
    </row>
    <row r="12" spans="1:13" x14ac:dyDescent="0.2">
      <c r="A12" s="17" t="s">
        <v>86</v>
      </c>
      <c r="B12" s="17" t="s">
        <v>91</v>
      </c>
      <c r="C12" s="17" t="s">
        <v>94</v>
      </c>
      <c r="D12" s="17" t="s">
        <v>35</v>
      </c>
      <c r="E12" s="17" t="s">
        <v>60</v>
      </c>
      <c r="F12" s="17" t="s">
        <v>95</v>
      </c>
      <c r="G12" s="18">
        <v>2.42</v>
      </c>
      <c r="H12" s="19">
        <v>3.3</v>
      </c>
      <c r="I12" s="17" t="s">
        <v>19</v>
      </c>
      <c r="J12" s="19">
        <v>-3.3</v>
      </c>
      <c r="K12" s="19">
        <v>119.43</v>
      </c>
      <c r="L12" s="21"/>
    </row>
    <row r="13" spans="1:13" x14ac:dyDescent="0.2">
      <c r="A13" s="17" t="s">
        <v>86</v>
      </c>
      <c r="B13" s="17" t="s">
        <v>86</v>
      </c>
      <c r="C13" s="17" t="s">
        <v>96</v>
      </c>
      <c r="D13" s="17" t="s">
        <v>97</v>
      </c>
      <c r="E13" s="17" t="s">
        <v>98</v>
      </c>
      <c r="F13" s="17" t="s">
        <v>99</v>
      </c>
      <c r="G13" s="18">
        <v>2.27</v>
      </c>
      <c r="H13" s="19">
        <v>3.05</v>
      </c>
      <c r="I13" s="17" t="s">
        <v>15</v>
      </c>
      <c r="J13" s="19">
        <v>3.87</v>
      </c>
      <c r="K13" s="19">
        <v>126.26</v>
      </c>
      <c r="L13" s="21"/>
    </row>
    <row r="14" spans="1:13" x14ac:dyDescent="0.2">
      <c r="A14" s="17" t="s">
        <v>86</v>
      </c>
      <c r="B14" s="17" t="s">
        <v>100</v>
      </c>
      <c r="C14" s="17" t="s">
        <v>101</v>
      </c>
      <c r="D14" s="17" t="s">
        <v>102</v>
      </c>
      <c r="E14" s="17" t="s">
        <v>103</v>
      </c>
      <c r="F14" s="17" t="s">
        <v>104</v>
      </c>
      <c r="G14" s="18">
        <v>47.55</v>
      </c>
      <c r="H14" s="19">
        <v>1.02</v>
      </c>
      <c r="I14" s="17" t="s">
        <v>22</v>
      </c>
      <c r="J14" s="19">
        <v>0</v>
      </c>
      <c r="K14" s="19">
        <v>101.89</v>
      </c>
      <c r="L14" s="21"/>
    </row>
    <row r="15" spans="1:13" x14ac:dyDescent="0.2">
      <c r="A15" s="17" t="s">
        <v>86</v>
      </c>
      <c r="B15" s="17" t="s">
        <v>100</v>
      </c>
      <c r="C15" s="17" t="s">
        <v>105</v>
      </c>
      <c r="D15" s="17" t="s">
        <v>102</v>
      </c>
      <c r="E15" s="17" t="s">
        <v>103</v>
      </c>
      <c r="F15" s="17" t="s">
        <v>104</v>
      </c>
      <c r="G15" s="18">
        <v>14.3</v>
      </c>
      <c r="H15" s="19">
        <v>1</v>
      </c>
      <c r="I15" s="17" t="s">
        <v>22</v>
      </c>
      <c r="J15" s="19">
        <v>0</v>
      </c>
      <c r="K15" s="19">
        <v>100.89</v>
      </c>
      <c r="L15" s="21"/>
    </row>
    <row r="16" spans="1:13" x14ac:dyDescent="0.2">
      <c r="A16" s="17" t="s">
        <v>86</v>
      </c>
      <c r="B16" s="17" t="s">
        <v>100</v>
      </c>
      <c r="C16" s="17" t="s">
        <v>106</v>
      </c>
      <c r="D16" s="17" t="s">
        <v>102</v>
      </c>
      <c r="E16" s="17" t="s">
        <v>103</v>
      </c>
      <c r="F16" s="17" t="s">
        <v>104</v>
      </c>
      <c r="G16" s="18">
        <v>41.85</v>
      </c>
      <c r="H16" s="19">
        <v>1</v>
      </c>
      <c r="I16" s="17" t="s">
        <v>22</v>
      </c>
      <c r="J16" s="19">
        <v>0</v>
      </c>
      <c r="K16" s="19">
        <v>99.89</v>
      </c>
      <c r="L16" s="21"/>
    </row>
    <row r="17" spans="1:12" x14ac:dyDescent="0.2">
      <c r="A17" s="17" t="s">
        <v>91</v>
      </c>
      <c r="B17" s="17" t="s">
        <v>100</v>
      </c>
      <c r="C17" s="17" t="s">
        <v>107</v>
      </c>
      <c r="D17" s="17" t="s">
        <v>108</v>
      </c>
      <c r="E17" s="17" t="s">
        <v>59</v>
      </c>
      <c r="F17" s="17" t="s">
        <v>109</v>
      </c>
      <c r="G17" s="18">
        <v>1.0900000000000001</v>
      </c>
      <c r="H17" s="19">
        <v>1.04</v>
      </c>
      <c r="I17" s="17" t="s">
        <v>22</v>
      </c>
      <c r="J17" s="19">
        <v>0</v>
      </c>
      <c r="K17" s="19"/>
      <c r="L17" s="21"/>
    </row>
    <row r="18" spans="1:12" x14ac:dyDescent="0.2">
      <c r="A18" s="17" t="s">
        <v>91</v>
      </c>
      <c r="B18" s="17" t="s">
        <v>91</v>
      </c>
      <c r="C18" s="17" t="s">
        <v>39</v>
      </c>
      <c r="D18" s="17" t="s">
        <v>110</v>
      </c>
      <c r="E18" s="17" t="s">
        <v>59</v>
      </c>
      <c r="F18" s="17" t="s">
        <v>111</v>
      </c>
      <c r="G18" s="18">
        <v>1.04</v>
      </c>
      <c r="H18" s="19">
        <v>0.98</v>
      </c>
      <c r="I18" s="17" t="s">
        <v>15</v>
      </c>
      <c r="J18" s="19">
        <v>0.04</v>
      </c>
      <c r="K18" s="19">
        <v>119.47</v>
      </c>
      <c r="L18" s="21"/>
    </row>
    <row r="19" spans="1:12" x14ac:dyDescent="0.2">
      <c r="A19" s="17" t="s">
        <v>91</v>
      </c>
      <c r="B19" s="17" t="s">
        <v>91</v>
      </c>
      <c r="C19" s="17" t="s">
        <v>94</v>
      </c>
      <c r="D19" s="17" t="s">
        <v>35</v>
      </c>
      <c r="E19" s="17" t="s">
        <v>98</v>
      </c>
      <c r="F19" s="17" t="s">
        <v>99</v>
      </c>
      <c r="G19" s="18">
        <v>1.41</v>
      </c>
      <c r="H19" s="19">
        <v>0.81</v>
      </c>
      <c r="I19" s="17" t="s">
        <v>15</v>
      </c>
      <c r="J19" s="19">
        <v>0.33</v>
      </c>
      <c r="K19" s="19">
        <v>119.8</v>
      </c>
      <c r="L19" s="21"/>
    </row>
    <row r="20" spans="1:12" x14ac:dyDescent="0.2">
      <c r="A20" s="17" t="s">
        <v>91</v>
      </c>
      <c r="B20" s="17" t="s">
        <v>100</v>
      </c>
      <c r="C20" s="17" t="s">
        <v>112</v>
      </c>
      <c r="D20" s="17" t="s">
        <v>113</v>
      </c>
      <c r="E20" s="17" t="s">
        <v>98</v>
      </c>
      <c r="F20" s="17" t="s">
        <v>99</v>
      </c>
      <c r="G20" s="18">
        <v>1.8</v>
      </c>
      <c r="H20" s="19">
        <v>2.71</v>
      </c>
      <c r="I20" s="17" t="s">
        <v>22</v>
      </c>
      <c r="J20" s="19">
        <v>0</v>
      </c>
      <c r="K20" s="19"/>
      <c r="L20" s="21"/>
    </row>
    <row r="21" spans="1:12" x14ac:dyDescent="0.2">
      <c r="A21" s="17" t="s">
        <v>91</v>
      </c>
      <c r="B21" s="17" t="s">
        <v>100</v>
      </c>
      <c r="C21" s="17" t="s">
        <v>114</v>
      </c>
      <c r="D21" s="17" t="s">
        <v>115</v>
      </c>
      <c r="E21" s="17" t="s">
        <v>98</v>
      </c>
      <c r="F21" s="17" t="s">
        <v>99</v>
      </c>
      <c r="G21" s="18">
        <v>1.87</v>
      </c>
      <c r="H21" s="19">
        <v>3.04</v>
      </c>
      <c r="I21" s="17" t="s">
        <v>22</v>
      </c>
      <c r="J21" s="19">
        <v>0</v>
      </c>
      <c r="K21" s="19"/>
      <c r="L21" s="21"/>
    </row>
    <row r="22" spans="1:12" x14ac:dyDescent="0.2">
      <c r="A22" s="17" t="s">
        <v>91</v>
      </c>
      <c r="B22" s="17" t="s">
        <v>91</v>
      </c>
      <c r="C22" s="17" t="s">
        <v>116</v>
      </c>
      <c r="D22" s="17" t="s">
        <v>117</v>
      </c>
      <c r="E22" s="17" t="s">
        <v>98</v>
      </c>
      <c r="F22" s="17" t="s">
        <v>99</v>
      </c>
      <c r="G22" s="18">
        <v>1.7</v>
      </c>
      <c r="H22" s="19">
        <v>0.73</v>
      </c>
      <c r="I22" s="17" t="s">
        <v>19</v>
      </c>
      <c r="J22" s="19">
        <v>-0.73</v>
      </c>
      <c r="K22" s="19">
        <v>119.07</v>
      </c>
      <c r="L22" s="21"/>
    </row>
    <row r="23" spans="1:12" x14ac:dyDescent="0.2">
      <c r="A23" s="17" t="s">
        <v>91</v>
      </c>
      <c r="B23" s="17" t="s">
        <v>100</v>
      </c>
      <c r="C23" s="17" t="s">
        <v>118</v>
      </c>
      <c r="D23" s="17" t="s">
        <v>119</v>
      </c>
      <c r="E23" s="17" t="s">
        <v>98</v>
      </c>
      <c r="F23" s="17" t="s">
        <v>99</v>
      </c>
      <c r="G23" s="18">
        <v>1.58</v>
      </c>
      <c r="H23" s="19">
        <v>0.67</v>
      </c>
      <c r="I23" s="17" t="s">
        <v>22</v>
      </c>
      <c r="J23" s="19">
        <v>0</v>
      </c>
      <c r="K23" s="19"/>
      <c r="L23" s="21"/>
    </row>
    <row r="24" spans="1:12" x14ac:dyDescent="0.2">
      <c r="A24" s="17" t="s">
        <v>91</v>
      </c>
      <c r="B24" s="17" t="s">
        <v>91</v>
      </c>
      <c r="C24" s="17" t="s">
        <v>92</v>
      </c>
      <c r="D24" s="17" t="s">
        <v>33</v>
      </c>
      <c r="E24" s="17" t="s">
        <v>98</v>
      </c>
      <c r="F24" s="17" t="s">
        <v>99</v>
      </c>
      <c r="G24" s="18">
        <v>1.85</v>
      </c>
      <c r="H24" s="19">
        <v>0.67</v>
      </c>
      <c r="I24" s="17" t="s">
        <v>19</v>
      </c>
      <c r="J24" s="19">
        <v>-0.67</v>
      </c>
      <c r="K24" s="19">
        <v>118.4</v>
      </c>
      <c r="L24" s="21"/>
    </row>
    <row r="25" spans="1:12" x14ac:dyDescent="0.2">
      <c r="A25" s="17" t="s">
        <v>91</v>
      </c>
      <c r="B25" s="17" t="s">
        <v>100</v>
      </c>
      <c r="C25" s="17" t="s">
        <v>118</v>
      </c>
      <c r="D25" s="17" t="s">
        <v>119</v>
      </c>
      <c r="E25" s="17" t="s">
        <v>59</v>
      </c>
      <c r="F25" s="17" t="s">
        <v>120</v>
      </c>
      <c r="G25" s="18">
        <v>1.83</v>
      </c>
      <c r="H25" s="19">
        <v>0.86</v>
      </c>
      <c r="I25" s="17" t="s">
        <v>22</v>
      </c>
      <c r="J25" s="19">
        <v>0</v>
      </c>
      <c r="K25" s="19"/>
      <c r="L25" s="21"/>
    </row>
    <row r="26" spans="1:12" x14ac:dyDescent="0.2">
      <c r="A26" s="17" t="s">
        <v>91</v>
      </c>
      <c r="B26" s="17" t="s">
        <v>121</v>
      </c>
      <c r="C26" s="17" t="s">
        <v>122</v>
      </c>
      <c r="D26" s="17" t="s">
        <v>123</v>
      </c>
      <c r="E26" s="17" t="s">
        <v>98</v>
      </c>
      <c r="F26" s="17" t="s">
        <v>99</v>
      </c>
      <c r="G26" s="18">
        <v>1.91</v>
      </c>
      <c r="H26" s="19">
        <v>2.5499999999999998</v>
      </c>
      <c r="I26" s="17" t="s">
        <v>22</v>
      </c>
      <c r="J26" s="19">
        <v>0</v>
      </c>
      <c r="K26" s="19"/>
      <c r="L26" s="21"/>
    </row>
    <row r="27" spans="1:12" x14ac:dyDescent="0.2">
      <c r="A27" s="17" t="s">
        <v>91</v>
      </c>
      <c r="B27" s="17" t="s">
        <v>121</v>
      </c>
      <c r="C27" s="17" t="s">
        <v>124</v>
      </c>
      <c r="D27" s="17" t="s">
        <v>125</v>
      </c>
      <c r="E27" s="17" t="s">
        <v>98</v>
      </c>
      <c r="F27" s="17" t="s">
        <v>99</v>
      </c>
      <c r="G27" s="18">
        <v>2.4</v>
      </c>
      <c r="H27" s="19">
        <v>7.7</v>
      </c>
      <c r="I27" s="17" t="s">
        <v>22</v>
      </c>
      <c r="J27" s="19">
        <v>0</v>
      </c>
      <c r="K27" s="19"/>
      <c r="L27" s="21"/>
    </row>
    <row r="28" spans="1:12" x14ac:dyDescent="0.2">
      <c r="A28" s="17" t="s">
        <v>91</v>
      </c>
      <c r="B28" s="17" t="s">
        <v>121</v>
      </c>
      <c r="C28" s="17" t="s">
        <v>126</v>
      </c>
      <c r="D28" s="17" t="s">
        <v>127</v>
      </c>
      <c r="E28" s="17" t="s">
        <v>98</v>
      </c>
      <c r="F28" s="17" t="s">
        <v>99</v>
      </c>
      <c r="G28" s="18">
        <v>2.2000000000000002</v>
      </c>
      <c r="H28" s="19">
        <v>5.08</v>
      </c>
      <c r="I28" s="17" t="s">
        <v>22</v>
      </c>
      <c r="J28" s="19">
        <v>0</v>
      </c>
      <c r="K28" s="19"/>
      <c r="L28" s="21"/>
    </row>
    <row r="29" spans="1:12" x14ac:dyDescent="0.2">
      <c r="A29" s="17" t="s">
        <v>91</v>
      </c>
      <c r="B29" s="17" t="s">
        <v>121</v>
      </c>
      <c r="C29" s="17" t="s">
        <v>21</v>
      </c>
      <c r="D29" s="17" t="s">
        <v>128</v>
      </c>
      <c r="E29" s="17" t="s">
        <v>98</v>
      </c>
      <c r="F29" s="17" t="s">
        <v>99</v>
      </c>
      <c r="G29" s="18">
        <v>1.855</v>
      </c>
      <c r="H29" s="19">
        <v>0.83</v>
      </c>
      <c r="I29" s="17" t="s">
        <v>22</v>
      </c>
      <c r="J29" s="19">
        <v>0</v>
      </c>
      <c r="K29" s="19"/>
      <c r="L29" s="21"/>
    </row>
    <row r="30" spans="1:12" x14ac:dyDescent="0.2">
      <c r="A30" s="17" t="s">
        <v>100</v>
      </c>
      <c r="B30" s="17" t="s">
        <v>129</v>
      </c>
      <c r="C30" s="17" t="s">
        <v>130</v>
      </c>
      <c r="D30" s="17" t="s">
        <v>131</v>
      </c>
      <c r="E30" s="17" t="s">
        <v>98</v>
      </c>
      <c r="F30" s="17" t="s">
        <v>99</v>
      </c>
      <c r="G30" s="18">
        <v>1.835</v>
      </c>
      <c r="H30" s="19">
        <v>8.52</v>
      </c>
      <c r="I30" s="17" t="s">
        <v>22</v>
      </c>
      <c r="J30" s="19">
        <v>0</v>
      </c>
      <c r="K30" s="19"/>
      <c r="L30" s="21"/>
    </row>
    <row r="31" spans="1:12" x14ac:dyDescent="0.2">
      <c r="A31" s="17" t="s">
        <v>100</v>
      </c>
      <c r="B31" s="17" t="s">
        <v>129</v>
      </c>
      <c r="C31" s="17" t="s">
        <v>132</v>
      </c>
      <c r="D31" s="17" t="s">
        <v>133</v>
      </c>
      <c r="E31" s="17" t="s">
        <v>98</v>
      </c>
      <c r="F31" s="17" t="s">
        <v>99</v>
      </c>
      <c r="G31" s="18">
        <v>1.7050000000000001</v>
      </c>
      <c r="H31" s="19">
        <v>0.63</v>
      </c>
      <c r="I31" s="17" t="s">
        <v>22</v>
      </c>
      <c r="J31" s="19">
        <v>0</v>
      </c>
      <c r="K31" s="19"/>
      <c r="L31" s="21"/>
    </row>
    <row r="32" spans="1:12" x14ac:dyDescent="0.2">
      <c r="A32" s="17" t="s">
        <v>100</v>
      </c>
      <c r="B32" s="17" t="s">
        <v>129</v>
      </c>
      <c r="C32" s="17" t="s">
        <v>134</v>
      </c>
      <c r="D32" s="17" t="s">
        <v>135</v>
      </c>
      <c r="E32" s="17" t="s">
        <v>98</v>
      </c>
      <c r="F32" s="17" t="s">
        <v>99</v>
      </c>
      <c r="G32" s="18">
        <v>2.14</v>
      </c>
      <c r="H32" s="19">
        <v>3.55</v>
      </c>
      <c r="I32" s="17" t="s">
        <v>22</v>
      </c>
      <c r="J32" s="19">
        <v>0</v>
      </c>
      <c r="K32" s="19"/>
      <c r="L32" s="21"/>
    </row>
    <row r="33" spans="1:12" x14ac:dyDescent="0.2">
      <c r="A33" s="17" t="s">
        <v>100</v>
      </c>
      <c r="B33" s="17" t="s">
        <v>129</v>
      </c>
      <c r="C33" s="17" t="s">
        <v>136</v>
      </c>
      <c r="D33" s="17" t="s">
        <v>137</v>
      </c>
      <c r="E33" s="17" t="s">
        <v>60</v>
      </c>
      <c r="F33" s="17" t="s">
        <v>138</v>
      </c>
      <c r="G33" s="18">
        <v>3.47</v>
      </c>
      <c r="H33" s="19">
        <v>6.57</v>
      </c>
      <c r="I33" s="17" t="s">
        <v>22</v>
      </c>
      <c r="J33" s="19">
        <v>0</v>
      </c>
      <c r="K33" s="19"/>
      <c r="L33" s="21"/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My Bets</vt:lpstr>
      <vt:lpstr>Project Ledger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Barrie Jones</cp:lastModifiedBy>
  <cp:revision>0</cp:revision>
  <dcterms:created xsi:type="dcterms:W3CDTF">2026-06-11T19:21:52Z</dcterms:created>
  <dcterms:modified xsi:type="dcterms:W3CDTF">2026-06-15T14:02:48Z</dcterms:modified>
  <dc:language>en-US</dc:language>
</cp:coreProperties>
</file>